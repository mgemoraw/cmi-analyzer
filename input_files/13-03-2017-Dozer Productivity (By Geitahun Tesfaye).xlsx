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:\Instances-2025\Dam\Division-01\P001\"/>
    </mc:Choice>
  </mc:AlternateContent>
  <xr:revisionPtr revIDLastSave="0" documentId="13_ncr:1_{D68E5CB2-84AE-414F-9866-3D5F68371FD0}" xr6:coauthVersionLast="47" xr6:coauthVersionMax="47" xr10:uidLastSave="{00000000-0000-0000-0000-000000000000}"/>
  <bookViews>
    <workbookView xWindow="20745" yWindow="390" windowWidth="20070" windowHeight="14175" activeTab="2" xr2:uid="{00000000-000D-0000-FFFF-FFFF00000000}"/>
  </bookViews>
  <sheets>
    <sheet name="dozer" sheetId="1" r:id="rId1"/>
    <sheet name="mpdm" sheetId="5" r:id="rId2"/>
    <sheet name="daily_variables" sheetId="4" r:id="rId3"/>
    <sheet name="productivity" sheetId="6" r:id="rId4"/>
  </sheets>
  <definedNames>
    <definedName name="_xlnm.Print_Area" localSheetId="3">productivity!$A$1:$M$9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7" i="1"/>
  <c r="Q7" i="1"/>
</calcChain>
</file>

<file path=xl/sharedStrings.xml><?xml version="1.0" encoding="utf-8"?>
<sst xmlns="http://schemas.openxmlformats.org/spreadsheetml/2006/main" count="1650" uniqueCount="156">
  <si>
    <t xml:space="preserve">Construction Management Institute </t>
  </si>
  <si>
    <t xml:space="preserve"> PREPARATION OF NATIONAL PRODUCTIVITY NORM FOR WATER CONSTRUCTION TRADE</t>
  </si>
  <si>
    <t>Form - 1</t>
  </si>
  <si>
    <t xml:space="preserve">Project Code: </t>
  </si>
  <si>
    <t>Number of Equipment Types:</t>
  </si>
  <si>
    <t>Date:</t>
  </si>
  <si>
    <t>Manpower (Foreman, Operator, Helper, Laborers, etc.)</t>
  </si>
  <si>
    <t>Description</t>
  </si>
  <si>
    <t>Soil Type</t>
  </si>
  <si>
    <t>Unit</t>
  </si>
  <si>
    <t>Productivity (m3/hr)</t>
  </si>
  <si>
    <t xml:space="preserve">Main Factor </t>
  </si>
  <si>
    <t>Factor ID</t>
  </si>
  <si>
    <t xml:space="preserve">Sub - Factors </t>
  </si>
  <si>
    <t>Scale of Measure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</si>
  <si>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</si>
  <si>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</si>
  <si>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</si>
  <si>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</si>
  <si>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</si>
  <si>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</si>
  <si>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</si>
  <si>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</si>
  <si>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</si>
  <si>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</si>
  <si>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</si>
  <si>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</si>
  <si>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</si>
  <si>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</si>
  <si>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</si>
  <si>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</si>
  <si>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</si>
  <si>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</si>
  <si>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</si>
  <si>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</si>
  <si>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</si>
  <si>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</si>
  <si>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</si>
  <si>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</si>
  <si>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</si>
  <si>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</si>
  <si>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</si>
  <si>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</si>
  <si>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</si>
  <si>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</si>
  <si>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</si>
  <si>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</si>
  <si>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</si>
  <si>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</si>
  <si>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</si>
  <si>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</si>
  <si>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</si>
  <si>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</si>
  <si>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</si>
  <si>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</si>
  <si>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</si>
  <si>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</si>
  <si>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</si>
  <si>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</si>
  <si>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</si>
  <si>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</si>
  <si>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</si>
  <si>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</si>
  <si>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</si>
  <si>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</si>
  <si>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</si>
  <si>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</si>
  <si>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</si>
  <si>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</si>
  <si>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</si>
  <si>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</si>
  <si>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</si>
  <si>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</si>
  <si>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</si>
  <si>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</si>
  <si>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</si>
  <si>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</si>
  <si>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</si>
  <si>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</si>
  <si>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</si>
  <si>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</si>
  <si>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</si>
  <si>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t>Range: recorded (min, max)</t>
  </si>
  <si>
    <t xml:space="preserve">weather.gc.ca. </t>
  </si>
  <si>
    <t xml:space="preserve">Weather (precipitation) </t>
  </si>
  <si>
    <t xml:space="preserve">Weather (humidity) </t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</si>
  <si>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</si>
  <si>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</si>
  <si>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</si>
  <si>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</si>
  <si>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</si>
  <si>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</si>
  <si>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</si>
  <si>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</si>
  <si>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</si>
  <si>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>Form - 4</t>
  </si>
  <si>
    <t>Project Code:</t>
  </si>
  <si>
    <t>Operation:</t>
  </si>
  <si>
    <t>Unit of Time:</t>
  </si>
  <si>
    <t>Production Cycle Number</t>
  </si>
  <si>
    <t>Cycle Time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</si>
  <si>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</si>
  <si>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</si>
  <si>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</si>
  <si>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</si>
  <si>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</si>
  <si>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</si>
  <si>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</si>
  <si>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Range og each category (0 - 10)</t>
  </si>
  <si>
    <t>1 Elementary, 2. Highschool, 3. Technical, 4. College, 5. University</t>
  </si>
  <si>
    <t>Equipment number`</t>
  </si>
  <si>
    <r>
      <t>Real number (</t>
    </r>
    <r>
      <rPr>
        <sz val="10"/>
        <color indexed="8"/>
        <rFont val="Times New Roman"/>
        <family val="1"/>
      </rPr>
      <t>˚C)</t>
    </r>
  </si>
  <si>
    <r>
      <t>Real number (</t>
    </r>
    <r>
      <rPr>
        <sz val="10"/>
        <color indexed="8"/>
        <rFont val="Times New Roman"/>
        <family val="1"/>
      </rPr>
      <t>mm)</t>
    </r>
  </si>
  <si>
    <r>
      <t>Real number (</t>
    </r>
    <r>
      <rPr>
        <sz val="10"/>
        <color indexed="8"/>
        <rFont val="Times New Roman"/>
        <family val="1"/>
      </rPr>
      <t>%)</t>
    </r>
  </si>
  <si>
    <t>Data Collector</t>
  </si>
  <si>
    <t>Equipment:</t>
  </si>
  <si>
    <t xml:space="preserve">MPDM Data Sheet Form </t>
  </si>
  <si>
    <t>Data count</t>
  </si>
  <si>
    <t>PREPARATION OF NATIONAL PRODUCTIVITY NORM FOR WATER CONSTRUCTION TRADE</t>
  </si>
  <si>
    <t>BAHIR DAR INTITUTE OF TECHNOLOGY</t>
  </si>
  <si>
    <t>Task/particular</t>
  </si>
  <si>
    <t>Project Code</t>
  </si>
  <si>
    <t>T Cycle Time (seconds)</t>
  </si>
  <si>
    <t>Dozer Cycle</t>
  </si>
  <si>
    <t>Dozer Blade Type (S, U, SU, C)</t>
  </si>
  <si>
    <t>Task Type</t>
  </si>
  <si>
    <t>Blade Measurement</t>
  </si>
  <si>
    <t>H</t>
  </si>
  <si>
    <t>W</t>
  </si>
  <si>
    <t>L</t>
  </si>
  <si>
    <t>Blad Load (m3)</t>
  </si>
  <si>
    <t>Dozer Productivity Data Records</t>
  </si>
  <si>
    <t>Construction Management Institute (CMI) with Bahir Dar Institute of Technology (BiT)</t>
  </si>
  <si>
    <t xml:space="preserve">Equipment Productivity Data Instance Sheet </t>
  </si>
  <si>
    <t>Task/Activity/Particular:</t>
  </si>
  <si>
    <t xml:space="preserve"> Dam, Divi-1 (MATERIAL DEVELOPMENT ), Earth-Excavation using Hydraulic Excavator</t>
  </si>
  <si>
    <t>MPDM</t>
  </si>
  <si>
    <t>Data Count</t>
  </si>
  <si>
    <t>Date</t>
  </si>
  <si>
    <t xml:space="preserve"> Project Code</t>
  </si>
  <si>
    <r>
      <t xml:space="preserve">Avg. Cycle Time </t>
    </r>
    <r>
      <rPr>
        <b/>
        <sz val="11"/>
        <color rgb="FFFF0000"/>
        <rFont val="Arial"/>
        <family val="2"/>
      </rPr>
      <t>(Seconds)</t>
    </r>
  </si>
  <si>
    <t>Environment</t>
  </si>
  <si>
    <t>Labor</t>
  </si>
  <si>
    <t>Material</t>
  </si>
  <si>
    <t xml:space="preserve">Form - 6 - Daily Input Variables </t>
  </si>
  <si>
    <t xml:space="preserve">Geitahun Tesfaye </t>
  </si>
  <si>
    <t>1F,1OP,1H</t>
  </si>
  <si>
    <t>SU</t>
  </si>
  <si>
    <t>01-Earth</t>
  </si>
  <si>
    <t>Clearing and graping using Dozer</t>
  </si>
  <si>
    <t>clay</t>
  </si>
  <si>
    <t>m</t>
  </si>
  <si>
    <t>sec</t>
  </si>
  <si>
    <t>01-Earth/</t>
  </si>
  <si>
    <t>Dozer</t>
  </si>
  <si>
    <t>13/03/2017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</si>
</sst>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Nyala"/>
      <family val="2"/>
      <scheme val="minor"/>
    </font>
    <font>
      <sz val="10"/>
      <name val="Arial"/>
      <family val="2"/>
    </font>
    <font>
      <u/>
      <sz val="14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u/>
      <sz val="11"/>
      <color theme="10"/>
      <name val="Nyala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8"/>
      <name val="Nyala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Times New Roman"/>
      <family val="1"/>
    </font>
    <font>
      <sz val="14"/>
      <color theme="1"/>
      <name val="Arial"/>
      <family val="2"/>
    </font>
    <font>
      <u/>
      <sz val="14"/>
      <name val="Arial"/>
      <family val="2"/>
    </font>
    <font>
      <sz val="12"/>
      <name val="Verdana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6" fillId="0" borderId="0"/>
    <xf numFmtId="0" fontId="7" fillId="0" borderId="0" applyNumberFormat="0" applyFill="0" applyBorder="0" applyAlignment="0" applyProtection="0"/>
    <xf numFmtId="0" fontId="1" fillId="0" borderId="0"/>
  </cellStyleXfs>
  <cellXfs count="103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8" fillId="0" borderId="0" xfId="0" applyFont="1"/>
    <xf numFmtId="0" fontId="9" fillId="6" borderId="7" xfId="0" applyFont="1" applyFill="1" applyBorder="1" applyAlignment="1">
      <alignment horizontal="right" vertical="top" wrapText="1"/>
    </xf>
    <xf numFmtId="0" fontId="9" fillId="6" borderId="7" xfId="0" applyFont="1" applyFill="1" applyBorder="1" applyAlignment="1">
      <alignment vertical="top" wrapText="1"/>
    </xf>
    <xf numFmtId="0" fontId="9" fillId="6" borderId="7" xfId="0" applyFont="1" applyFill="1" applyBorder="1" applyAlignment="1">
      <alignment horizontal="left" vertical="top" wrapText="1"/>
    </xf>
    <xf numFmtId="0" fontId="9" fillId="6" borderId="4" xfId="0" applyFont="1" applyFill="1" applyBorder="1" applyAlignment="1">
      <alignment horizontal="right" vertical="top" wrapText="1"/>
    </xf>
    <xf numFmtId="0" fontId="9" fillId="6" borderId="4" xfId="0" applyFont="1" applyFill="1" applyBorder="1" applyAlignment="1">
      <alignment horizontal="left" vertical="top" wrapText="1"/>
    </xf>
    <xf numFmtId="0" fontId="9" fillId="6" borderId="8" xfId="0" applyFont="1" applyFill="1" applyBorder="1" applyAlignment="1">
      <alignment vertical="top" wrapText="1"/>
    </xf>
    <xf numFmtId="0" fontId="9" fillId="6" borderId="9" xfId="0" applyFont="1" applyFill="1" applyBorder="1" applyAlignment="1">
      <alignment vertical="top" wrapText="1"/>
    </xf>
    <xf numFmtId="0" fontId="9" fillId="0" borderId="0" xfId="0" applyFont="1"/>
    <xf numFmtId="0" fontId="13" fillId="0" borderId="0" xfId="0" applyFont="1" applyAlignment="1">
      <alignment horizontal="right"/>
    </xf>
    <xf numFmtId="0" fontId="11" fillId="4" borderId="2" xfId="1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vertical="top" wrapText="1"/>
    </xf>
    <xf numFmtId="0" fontId="9" fillId="6" borderId="12" xfId="0" applyFont="1" applyFill="1" applyBorder="1" applyAlignment="1">
      <alignment vertical="top" wrapText="1"/>
    </xf>
    <xf numFmtId="0" fontId="9" fillId="6" borderId="12" xfId="0" applyFont="1" applyFill="1" applyBorder="1" applyAlignment="1">
      <alignment horizontal="left" vertical="top" wrapText="1"/>
    </xf>
    <xf numFmtId="0" fontId="14" fillId="6" borderId="18" xfId="0" applyFont="1" applyFill="1" applyBorder="1" applyAlignment="1">
      <alignment vertical="top" wrapText="1"/>
    </xf>
    <xf numFmtId="0" fontId="14" fillId="6" borderId="7" xfId="0" applyFont="1" applyFill="1" applyBorder="1" applyAlignment="1">
      <alignment horizontal="left" vertical="top" wrapText="1"/>
    </xf>
    <xf numFmtId="0" fontId="14" fillId="6" borderId="6" xfId="0" applyFont="1" applyFill="1" applyBorder="1" applyAlignment="1">
      <alignment horizontal="left" vertical="top" wrapText="1"/>
    </xf>
    <xf numFmtId="0" fontId="14" fillId="6" borderId="17" xfId="0" applyFont="1" applyFill="1" applyBorder="1" applyAlignment="1">
      <alignment vertical="top" wrapText="1"/>
    </xf>
    <xf numFmtId="2" fontId="9" fillId="6" borderId="7" xfId="0" applyNumberFormat="1" applyFont="1" applyFill="1" applyBorder="1" applyAlignment="1">
      <alignment horizontal="right" vertical="top" wrapText="1"/>
    </xf>
    <xf numFmtId="0" fontId="5" fillId="7" borderId="20" xfId="1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21" fillId="4" borderId="19" xfId="1" applyFont="1" applyFill="1" applyBorder="1" applyAlignment="1">
      <alignment horizontal="center" vertical="center"/>
    </xf>
    <xf numFmtId="0" fontId="21" fillId="0" borderId="19" xfId="1" applyFont="1" applyBorder="1" applyAlignment="1">
      <alignment vertical="center"/>
    </xf>
    <xf numFmtId="0" fontId="21" fillId="2" borderId="19" xfId="1" applyFont="1" applyFill="1" applyBorder="1" applyAlignment="1">
      <alignment horizontal="center" vertical="center"/>
    </xf>
    <xf numFmtId="0" fontId="21" fillId="2" borderId="19" xfId="1" applyFont="1" applyFill="1" applyBorder="1" applyAlignment="1">
      <alignment vertical="center"/>
    </xf>
    <xf numFmtId="0" fontId="21" fillId="5" borderId="19" xfId="1" applyFont="1" applyFill="1" applyBorder="1" applyAlignment="1">
      <alignment horizontal="center" vertical="center" wrapText="1"/>
    </xf>
    <xf numFmtId="0" fontId="21" fillId="2" borderId="19" xfId="1" applyFont="1" applyFill="1" applyBorder="1" applyAlignment="1">
      <alignment vertical="center" wrapText="1"/>
    </xf>
    <xf numFmtId="0" fontId="8" fillId="0" borderId="0" xfId="0" applyFont="1" applyAlignment="1">
      <alignment horizontal="right"/>
    </xf>
    <xf numFmtId="0" fontId="9" fillId="7" borderId="5" xfId="0" applyFont="1" applyFill="1" applyBorder="1" applyAlignment="1">
      <alignment horizontal="left" vertical="top" wrapText="1"/>
    </xf>
    <xf numFmtId="0" fontId="9" fillId="7" borderId="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0" fontId="9" fillId="7" borderId="14" xfId="0" applyFont="1" applyFill="1" applyBorder="1" applyAlignment="1">
      <alignment vertical="top" wrapText="1"/>
    </xf>
    <xf numFmtId="0" fontId="9" fillId="7" borderId="10" xfId="0" applyFont="1" applyFill="1" applyBorder="1" applyAlignment="1">
      <alignment vertical="top" wrapText="1"/>
    </xf>
    <xf numFmtId="0" fontId="8" fillId="7" borderId="0" xfId="0" applyFont="1" applyFill="1"/>
    <xf numFmtId="0" fontId="9" fillId="7" borderId="7" xfId="0" applyFont="1" applyFill="1" applyBorder="1" applyAlignment="1">
      <alignment horizontal="right" vertical="top" wrapText="1"/>
    </xf>
    <xf numFmtId="0" fontId="9" fillId="7" borderId="7" xfId="0" applyFont="1" applyFill="1" applyBorder="1" applyAlignment="1">
      <alignment vertical="top" wrapText="1"/>
    </xf>
    <xf numFmtId="0" fontId="9" fillId="7" borderId="15" xfId="0" applyFont="1" applyFill="1" applyBorder="1" applyAlignment="1">
      <alignment vertical="top" wrapText="1"/>
    </xf>
    <xf numFmtId="0" fontId="9" fillId="7" borderId="16" xfId="0" applyFont="1" applyFill="1" applyBorder="1" applyAlignment="1">
      <alignment vertical="top" wrapText="1"/>
    </xf>
    <xf numFmtId="0" fontId="9" fillId="7" borderId="7" xfId="0" applyFont="1" applyFill="1" applyBorder="1" applyAlignment="1">
      <alignment horizontal="left" vertical="top" wrapText="1"/>
    </xf>
    <xf numFmtId="0" fontId="8" fillId="7" borderId="19" xfId="0" applyFont="1" applyFill="1" applyBorder="1"/>
    <xf numFmtId="0" fontId="12" fillId="0" borderId="0" xfId="0" applyFont="1"/>
    <xf numFmtId="0" fontId="11" fillId="4" borderId="1" xfId="1" applyFont="1" applyFill="1" applyBorder="1" applyAlignment="1">
      <alignment horizontal="center" vertical="center" wrapText="1"/>
    </xf>
    <xf numFmtId="0" fontId="8" fillId="0" borderId="19" xfId="0" applyFont="1" applyBorder="1"/>
    <xf numFmtId="0" fontId="11" fillId="8" borderId="19" xfId="1" applyFont="1" applyFill="1" applyBorder="1" applyAlignment="1">
      <alignment horizontal="center" vertical="center"/>
    </xf>
    <xf numFmtId="0" fontId="8" fillId="8" borderId="19" xfId="0" applyFont="1" applyFill="1" applyBorder="1"/>
    <xf numFmtId="0" fontId="22" fillId="0" borderId="0" xfId="0" applyFont="1"/>
    <xf numFmtId="0" fontId="9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9" fillId="6" borderId="19" xfId="0" applyFont="1" applyFill="1" applyBorder="1" applyAlignment="1">
      <alignment horizontal="center" vertical="top" wrapText="1"/>
    </xf>
    <xf numFmtId="0" fontId="9" fillId="6" borderId="18" xfId="0" applyFont="1" applyFill="1" applyBorder="1" applyAlignment="1">
      <alignment horizontal="left" vertical="top" wrapText="1"/>
    </xf>
    <xf numFmtId="0" fontId="14" fillId="6" borderId="18" xfId="0" applyFont="1" applyFill="1" applyBorder="1" applyAlignment="1">
      <alignment horizontal="left" vertical="top" wrapText="1"/>
    </xf>
    <xf numFmtId="0" fontId="15" fillId="6" borderId="18" xfId="0" applyFont="1" applyFill="1" applyBorder="1" applyAlignment="1">
      <alignment horizontal="left" vertical="top" wrapText="1"/>
    </xf>
    <xf numFmtId="0" fontId="14" fillId="6" borderId="17" xfId="0" applyFont="1" applyFill="1" applyBorder="1" applyAlignment="1">
      <alignment horizontal="left" vertical="top" wrapText="1"/>
    </xf>
    <xf numFmtId="0" fontId="9" fillId="6" borderId="22" xfId="0" applyFont="1" applyFill="1" applyBorder="1" applyAlignment="1">
      <alignment horizontal="left" vertical="top" wrapText="1"/>
    </xf>
    <xf numFmtId="0" fontId="9" fillId="6" borderId="21" xfId="0" applyFont="1" applyFill="1" applyBorder="1" applyAlignment="1">
      <alignment horizontal="left" vertical="top" wrapText="1"/>
    </xf>
    <xf numFmtId="0" fontId="9" fillId="0" borderId="19" xfId="0" applyFont="1" applyBorder="1"/>
    <xf numFmtId="0" fontId="12" fillId="0" borderId="0" xfId="0" applyFont="1" applyAlignment="1">
      <alignment horizontal="right" indent="1"/>
    </xf>
    <xf numFmtId="0" fontId="18" fillId="0" borderId="19" xfId="0" applyFont="1" applyBorder="1" applyAlignment="1">
      <alignment wrapText="1"/>
    </xf>
    <xf numFmtId="0" fontId="25" fillId="0" borderId="5" xfId="1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5" fillId="7" borderId="3" xfId="1" applyFont="1" applyFill="1" applyBorder="1" applyAlignment="1">
      <alignment vertical="center" wrapText="1"/>
    </xf>
    <xf numFmtId="0" fontId="5" fillId="7" borderId="26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4" fillId="0" borderId="19" xfId="1" applyFont="1" applyBorder="1" applyAlignment="1">
      <alignment vertical="center"/>
    </xf>
    <xf numFmtId="0" fontId="17" fillId="0" borderId="19" xfId="0" applyFont="1" applyBorder="1"/>
    <xf numFmtId="0" fontId="8" fillId="0" borderId="27" xfId="0" applyFont="1" applyBorder="1" applyAlignment="1">
      <alignment wrapText="1"/>
    </xf>
    <xf numFmtId="0" fontId="4" fillId="0" borderId="19" xfId="1" applyFont="1" applyBorder="1" applyAlignment="1">
      <alignment vertical="center" wrapText="1"/>
    </xf>
    <xf numFmtId="14" fontId="22" fillId="8" borderId="27" xfId="0" applyNumberFormat="1" applyFont="1" applyFill="1" applyBorder="1"/>
    <xf numFmtId="0" fontId="11" fillId="8" borderId="28" xfId="1" applyFont="1" applyFill="1" applyBorder="1" applyAlignment="1">
      <alignment horizontal="center" vertical="center"/>
    </xf>
    <xf numFmtId="0" fontId="8" fillId="8" borderId="28" xfId="0" applyFont="1" applyFill="1" applyBorder="1"/>
    <xf numFmtId="14" fontId="5" fillId="3" borderId="19" xfId="1" applyNumberFormat="1" applyFont="1" applyFill="1" applyBorder="1" applyAlignment="1">
      <alignment vertical="center"/>
    </xf>
    <xf numFmtId="14" fontId="4" fillId="0" borderId="19" xfId="1" applyNumberFormat="1" applyFont="1" applyBorder="1" applyAlignment="1">
      <alignment vertical="center"/>
    </xf>
    <xf numFmtId="0" fontId="21" fillId="2" borderId="19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9" fillId="7" borderId="15" xfId="0" applyFont="1" applyFill="1" applyBorder="1" applyAlignment="1">
      <alignment horizontal="left" vertical="top" wrapText="1"/>
    </xf>
    <xf numFmtId="0" fontId="9" fillId="7" borderId="16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24" fillId="0" borderId="0" xfId="1" applyFont="1" applyAlignment="1">
      <alignment horizontal="center" vertical="center"/>
    </xf>
    <xf numFmtId="0" fontId="18" fillId="0" borderId="19" xfId="0" applyFont="1" applyBorder="1" applyAlignment="1">
      <alignment horizontal="right"/>
    </xf>
    <xf numFmtId="0" fontId="17" fillId="0" borderId="25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19" xfId="0" applyFont="1" applyBorder="1" applyAlignment="1">
      <alignment horizontal="right" wrapText="1"/>
    </xf>
  </cellXfs>
  <cellStyles count="5">
    <cellStyle name="Hyperlink 2" xfId="3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0</xdr:rowOff>
    </xdr:from>
    <xdr:to>
      <xdr:col>2</xdr:col>
      <xdr:colOff>51487</xdr:colOff>
      <xdr:row>3</xdr:row>
      <xdr:rowOff>102333</xdr:rowOff>
    </xdr:to>
    <xdr:pic>
      <xdr:nvPicPr>
        <xdr:cNvPr id="2" name="Picture 1" descr="BDU log ---">
          <a:extLst>
            <a:ext uri="{FF2B5EF4-FFF2-40B4-BE49-F238E27FC236}">
              <a16:creationId xmlns:a16="http://schemas.microsoft.com/office/drawing/2014/main" id="{3FB33C18-2E81-47F2-B7FC-1902A102A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0"/>
          <a:ext cx="829362" cy="753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285750</xdr:colOff>
      <xdr:row>0</xdr:row>
      <xdr:rowOff>0</xdr:rowOff>
    </xdr:from>
    <xdr:to>
      <xdr:col>12</xdr:col>
      <xdr:colOff>381496</xdr:colOff>
      <xdr:row>4</xdr:row>
      <xdr:rowOff>27179</xdr:rowOff>
    </xdr:to>
    <xdr:pic>
      <xdr:nvPicPr>
        <xdr:cNvPr id="3" name="Picture 2" descr="May be an illustration">
          <a:extLst>
            <a:ext uri="{FF2B5EF4-FFF2-40B4-BE49-F238E27FC236}">
              <a16:creationId xmlns:a16="http://schemas.microsoft.com/office/drawing/2014/main" id="{1DEAF137-419B-42C7-A844-33A73CE40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5" y="0"/>
          <a:ext cx="825996" cy="852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9"/>
  <sheetViews>
    <sheetView topLeftCell="E1" zoomScale="85" zoomScaleNormal="85" workbookViewId="0">
      <pane ySplit="6" topLeftCell="A100" activePane="bottomLeft" state="frozen"/>
      <selection pane="bottomLeft" activeCell="E107" sqref="A107:XFD107"/>
    </sheetView>
  </sheetViews>
  <sheetFormatPr defaultColWidth="9.125" defaultRowHeight="15.75" x14ac:dyDescent="0.25"/>
  <cols>
    <col min="1" max="1" width="11.875" style="1" bestFit="1" customWidth="1"/>
    <col min="2" max="2" width="9.125" style="1"/>
    <col min="3" max="3" width="17.25" style="1" bestFit="1" customWidth="1"/>
    <col min="4" max="4" width="12.25" style="1" bestFit="1" customWidth="1"/>
    <col min="5" max="5" width="13.75" style="1" bestFit="1" customWidth="1"/>
    <col min="6" max="6" width="25.125" style="1" customWidth="1"/>
    <col min="7" max="7" width="29.375" style="1" customWidth="1"/>
    <col min="8" max="9" width="15.75" style="1" customWidth="1"/>
    <col min="10" max="10" width="13.875" style="1" customWidth="1"/>
    <col min="11" max="11" width="6.625" style="1" customWidth="1"/>
    <col min="12" max="12" width="6.875" style="1" customWidth="1"/>
    <col min="13" max="13" width="8.75" style="1" customWidth="1"/>
    <col min="14" max="14" width="10.125" style="1" customWidth="1"/>
    <col min="15" max="16" width="17.125" style="1" customWidth="1"/>
    <col min="17" max="17" width="13.25" style="1" customWidth="1"/>
    <col min="18" max="16384" width="9.125" style="1"/>
  </cols>
  <sheetData>
    <row r="1" spans="1:24" ht="18.75" x14ac:dyDescent="0.25">
      <c r="E1" s="81" t="s">
        <v>0</v>
      </c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24" ht="18.75" x14ac:dyDescent="0.25">
      <c r="E2" s="81" t="s">
        <v>1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24" x14ac:dyDescent="0.25">
      <c r="E3" s="82" t="s">
        <v>131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24" ht="16.5" thickBot="1" x14ac:dyDescent="0.3">
      <c r="E4" s="83" t="s">
        <v>2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1:24" ht="16.5" customHeight="1" thickBot="1" x14ac:dyDescent="0.3">
      <c r="K5" s="79" t="s">
        <v>126</v>
      </c>
      <c r="L5" s="80"/>
      <c r="M5" s="80"/>
      <c r="S5" s="78" t="s">
        <v>101</v>
      </c>
      <c r="T5" s="78"/>
      <c r="U5" s="78"/>
      <c r="V5" s="78"/>
      <c r="W5" s="78"/>
      <c r="X5" s="78"/>
    </row>
    <row r="6" spans="1:24" s="2" customFormat="1" ht="48" customHeight="1" x14ac:dyDescent="0.25">
      <c r="A6" s="22" t="s">
        <v>5</v>
      </c>
      <c r="B6" s="65" t="s">
        <v>3</v>
      </c>
      <c r="C6" s="66" t="s">
        <v>114</v>
      </c>
      <c r="D6" s="65" t="s">
        <v>4</v>
      </c>
      <c r="E6" s="67" t="s">
        <v>123</v>
      </c>
      <c r="F6" s="67" t="s">
        <v>6</v>
      </c>
      <c r="G6" s="67" t="s">
        <v>124</v>
      </c>
      <c r="H6" s="67" t="s">
        <v>125</v>
      </c>
      <c r="I6" s="67" t="s">
        <v>7</v>
      </c>
      <c r="J6" s="67" t="s">
        <v>8</v>
      </c>
      <c r="K6" s="68" t="s">
        <v>127</v>
      </c>
      <c r="L6" s="68" t="s">
        <v>128</v>
      </c>
      <c r="M6" s="68" t="s">
        <v>129</v>
      </c>
      <c r="N6" s="67" t="s">
        <v>9</v>
      </c>
      <c r="O6" s="68" t="s">
        <v>130</v>
      </c>
      <c r="P6" s="67" t="s">
        <v>122</v>
      </c>
      <c r="Q6" s="67" t="s">
        <v>10</v>
      </c>
      <c r="S6" s="29" t="s">
        <v>102</v>
      </c>
      <c r="T6" s="29" t="s">
        <v>103</v>
      </c>
      <c r="U6" s="29" t="s">
        <v>104</v>
      </c>
      <c r="V6" s="29" t="s">
        <v>105</v>
      </c>
      <c r="W6" s="29" t="s">
        <v>106</v>
      </c>
      <c r="X6" s="29" t="s">
        <v>107</v>
      </c>
    </row>
    <row r="7" spans="1:24" x14ac:dyDescent="0.25">
      <c r="A7" s="77" t="s">
        <v>155</v>
      </c>
      <c r="B7" s="69">
        <v>1</v>
      </c>
      <c r="C7" s="69" t="s">
        <v>145</v>
      </c>
      <c r="D7" s="69">
        <v>1</v>
      </c>
      <c r="E7" s="69">
        <v>1</v>
      </c>
      <c r="F7" s="69" t="s">
        <v>146</v>
      </c>
      <c r="G7" s="69" t="s">
        <v>147</v>
      </c>
      <c r="H7" s="69" t="s">
        <v>148</v>
      </c>
      <c r="I7" s="69" t="s">
        <v>149</v>
      </c>
      <c r="J7" s="69" t="s">
        <v>150</v>
      </c>
      <c r="K7" s="69">
        <v>1.3</v>
      </c>
      <c r="L7" s="69">
        <v>0.6</v>
      </c>
      <c r="M7" s="69">
        <v>3.2</v>
      </c>
      <c r="N7" s="69" t="s">
        <v>151</v>
      </c>
      <c r="O7" s="69">
        <f>K7*L7*M7</f>
        <v>2.4960000000000004</v>
      </c>
      <c r="P7" s="69">
        <v>67</v>
      </c>
      <c r="Q7" s="69">
        <f t="shared" ref="Q7:Q70" si="0">O7*3600/P7</f>
        <v>134.11343283582093</v>
      </c>
    </row>
    <row r="8" spans="1:24" x14ac:dyDescent="0.25">
      <c r="A8" s="69"/>
      <c r="B8" s="69"/>
      <c r="C8" s="69"/>
      <c r="D8" s="69"/>
      <c r="E8" s="69">
        <v>2</v>
      </c>
      <c r="F8" s="69" t="s">
        <v>146</v>
      </c>
      <c r="G8" s="69" t="s">
        <v>147</v>
      </c>
      <c r="H8" s="69" t="s">
        <v>148</v>
      </c>
      <c r="I8" s="69" t="s">
        <v>149</v>
      </c>
      <c r="J8" s="69" t="s">
        <v>150</v>
      </c>
      <c r="K8" s="69">
        <v>1.3</v>
      </c>
      <c r="L8" s="69">
        <v>0.6</v>
      </c>
      <c r="M8" s="69">
        <v>3.2</v>
      </c>
      <c r="N8" s="69" t="s">
        <v>151</v>
      </c>
      <c r="O8" s="69">
        <f t="shared" ref="O8:O71" si="1">K8*L8*M8</f>
        <v>2.4960000000000004</v>
      </c>
      <c r="P8" s="69">
        <v>62</v>
      </c>
      <c r="Q8" s="69">
        <f t="shared" si="0"/>
        <v>144.92903225806455</v>
      </c>
    </row>
    <row r="9" spans="1:24" x14ac:dyDescent="0.25">
      <c r="A9" s="69"/>
      <c r="B9" s="69"/>
      <c r="C9" s="69"/>
      <c r="D9" s="69"/>
      <c r="E9" s="69">
        <v>3</v>
      </c>
      <c r="F9" s="69" t="s">
        <v>146</v>
      </c>
      <c r="G9" s="69" t="s">
        <v>147</v>
      </c>
      <c r="H9" s="69" t="s">
        <v>148</v>
      </c>
      <c r="I9" s="69" t="s">
        <v>149</v>
      </c>
      <c r="J9" s="69" t="s">
        <v>150</v>
      </c>
      <c r="K9" s="69">
        <v>1.3</v>
      </c>
      <c r="L9" s="69">
        <v>0.6</v>
      </c>
      <c r="M9" s="69">
        <v>3.2</v>
      </c>
      <c r="N9" s="69" t="s">
        <v>151</v>
      </c>
      <c r="O9" s="69">
        <f t="shared" si="1"/>
        <v>2.4960000000000004</v>
      </c>
      <c r="P9" s="69">
        <v>47</v>
      </c>
      <c r="Q9" s="69">
        <f t="shared" si="0"/>
        <v>191.18297872340429</v>
      </c>
    </row>
    <row r="10" spans="1:24" x14ac:dyDescent="0.25">
      <c r="A10" s="69"/>
      <c r="B10" s="69"/>
      <c r="C10" s="69"/>
      <c r="D10" s="69"/>
      <c r="E10" s="69">
        <v>4</v>
      </c>
      <c r="F10" s="69" t="s">
        <v>146</v>
      </c>
      <c r="G10" s="69" t="s">
        <v>147</v>
      </c>
      <c r="H10" s="69" t="s">
        <v>148</v>
      </c>
      <c r="I10" s="69" t="s">
        <v>149</v>
      </c>
      <c r="J10" s="69" t="s">
        <v>150</v>
      </c>
      <c r="K10" s="69">
        <v>1.3</v>
      </c>
      <c r="L10" s="69">
        <v>0.6</v>
      </c>
      <c r="M10" s="69">
        <v>3.2</v>
      </c>
      <c r="N10" s="69" t="s">
        <v>151</v>
      </c>
      <c r="O10" s="69">
        <f t="shared" si="1"/>
        <v>2.4960000000000004</v>
      </c>
      <c r="P10" s="69">
        <v>74</v>
      </c>
      <c r="Q10" s="69">
        <f t="shared" si="0"/>
        <v>121.42702702702705</v>
      </c>
    </row>
    <row r="11" spans="1:24" x14ac:dyDescent="0.25">
      <c r="A11" s="69"/>
      <c r="B11" s="69"/>
      <c r="C11" s="69"/>
      <c r="D11" s="69"/>
      <c r="E11" s="69">
        <v>5</v>
      </c>
      <c r="F11" s="69" t="s">
        <v>146</v>
      </c>
      <c r="G11" s="69" t="s">
        <v>147</v>
      </c>
      <c r="H11" s="69" t="s">
        <v>148</v>
      </c>
      <c r="I11" s="69" t="s">
        <v>149</v>
      </c>
      <c r="J11" s="69" t="s">
        <v>150</v>
      </c>
      <c r="K11" s="69">
        <v>1.3</v>
      </c>
      <c r="L11" s="69">
        <v>0.6</v>
      </c>
      <c r="M11" s="69">
        <v>3.2</v>
      </c>
      <c r="N11" s="69" t="s">
        <v>151</v>
      </c>
      <c r="O11" s="69">
        <f t="shared" si="1"/>
        <v>2.4960000000000004</v>
      </c>
      <c r="P11" s="69">
        <v>73</v>
      </c>
      <c r="Q11" s="69">
        <f t="shared" si="0"/>
        <v>123.09041095890414</v>
      </c>
    </row>
    <row r="12" spans="1:24" x14ac:dyDescent="0.25">
      <c r="A12" s="69"/>
      <c r="B12" s="69"/>
      <c r="C12" s="69"/>
      <c r="D12" s="69"/>
      <c r="E12" s="69">
        <v>6</v>
      </c>
      <c r="F12" s="69" t="s">
        <v>146</v>
      </c>
      <c r="G12" s="69" t="s">
        <v>147</v>
      </c>
      <c r="H12" s="69" t="s">
        <v>148</v>
      </c>
      <c r="I12" s="69" t="s">
        <v>149</v>
      </c>
      <c r="J12" s="69" t="s">
        <v>150</v>
      </c>
      <c r="K12" s="69">
        <v>1.3</v>
      </c>
      <c r="L12" s="69">
        <v>0.6</v>
      </c>
      <c r="M12" s="69">
        <v>3.2</v>
      </c>
      <c r="N12" s="69" t="s">
        <v>151</v>
      </c>
      <c r="O12" s="69">
        <f t="shared" si="1"/>
        <v>2.4960000000000004</v>
      </c>
      <c r="P12" s="69">
        <v>68</v>
      </c>
      <c r="Q12" s="69">
        <f t="shared" si="0"/>
        <v>132.14117647058828</v>
      </c>
    </row>
    <row r="13" spans="1:24" x14ac:dyDescent="0.25">
      <c r="A13" s="69"/>
      <c r="B13" s="69"/>
      <c r="C13" s="69"/>
      <c r="D13" s="69"/>
      <c r="E13" s="69">
        <v>7</v>
      </c>
      <c r="F13" s="69" t="s">
        <v>146</v>
      </c>
      <c r="G13" s="69" t="s">
        <v>147</v>
      </c>
      <c r="H13" s="69" t="s">
        <v>148</v>
      </c>
      <c r="I13" s="69" t="s">
        <v>149</v>
      </c>
      <c r="J13" s="69" t="s">
        <v>150</v>
      </c>
      <c r="K13" s="69">
        <v>1.3</v>
      </c>
      <c r="L13" s="69">
        <v>0.6</v>
      </c>
      <c r="M13" s="69">
        <v>3.2</v>
      </c>
      <c r="N13" s="69" t="s">
        <v>151</v>
      </c>
      <c r="O13" s="69">
        <f t="shared" si="1"/>
        <v>2.4960000000000004</v>
      </c>
      <c r="P13" s="69">
        <v>254</v>
      </c>
      <c r="Q13" s="69">
        <f t="shared" si="0"/>
        <v>35.376377952755917</v>
      </c>
      <c r="U13" s="1">
        <v>182</v>
      </c>
    </row>
    <row r="14" spans="1:24" x14ac:dyDescent="0.25">
      <c r="A14" s="69"/>
      <c r="B14" s="69"/>
      <c r="C14" s="69"/>
      <c r="D14" s="69"/>
      <c r="E14" s="69">
        <v>8</v>
      </c>
      <c r="F14" s="69" t="s">
        <v>146</v>
      </c>
      <c r="G14" s="69" t="s">
        <v>147</v>
      </c>
      <c r="H14" s="69" t="s">
        <v>148</v>
      </c>
      <c r="I14" s="69" t="s">
        <v>149</v>
      </c>
      <c r="J14" s="69" t="s">
        <v>150</v>
      </c>
      <c r="K14" s="69">
        <v>1.3</v>
      </c>
      <c r="L14" s="69">
        <v>0.6</v>
      </c>
      <c r="M14" s="69">
        <v>3.2</v>
      </c>
      <c r="N14" s="69" t="s">
        <v>151</v>
      </c>
      <c r="O14" s="69">
        <f t="shared" si="1"/>
        <v>2.4960000000000004</v>
      </c>
      <c r="P14" s="69">
        <v>63</v>
      </c>
      <c r="Q14" s="69">
        <f t="shared" si="0"/>
        <v>142.62857142857146</v>
      </c>
    </row>
    <row r="15" spans="1:24" x14ac:dyDescent="0.25">
      <c r="A15" s="69"/>
      <c r="B15" s="69"/>
      <c r="C15" s="69"/>
      <c r="D15" s="69"/>
      <c r="E15" s="69">
        <v>9</v>
      </c>
      <c r="F15" s="69" t="s">
        <v>146</v>
      </c>
      <c r="G15" s="69" t="s">
        <v>147</v>
      </c>
      <c r="H15" s="69" t="s">
        <v>148</v>
      </c>
      <c r="I15" s="69" t="s">
        <v>149</v>
      </c>
      <c r="J15" s="69" t="s">
        <v>150</v>
      </c>
      <c r="K15" s="69">
        <v>1.3</v>
      </c>
      <c r="L15" s="69">
        <v>0.6</v>
      </c>
      <c r="M15" s="69">
        <v>3.2</v>
      </c>
      <c r="N15" s="69" t="s">
        <v>151</v>
      </c>
      <c r="O15" s="69">
        <f t="shared" si="1"/>
        <v>2.4960000000000004</v>
      </c>
      <c r="P15" s="69">
        <v>76</v>
      </c>
      <c r="Q15" s="69">
        <f t="shared" si="0"/>
        <v>118.23157894736845</v>
      </c>
    </row>
    <row r="16" spans="1:24" x14ac:dyDescent="0.25">
      <c r="A16" s="69"/>
      <c r="B16" s="69"/>
      <c r="C16" s="69"/>
      <c r="D16" s="69"/>
      <c r="E16" s="69">
        <v>10</v>
      </c>
      <c r="F16" s="69" t="s">
        <v>146</v>
      </c>
      <c r="G16" s="69" t="s">
        <v>147</v>
      </c>
      <c r="H16" s="69" t="s">
        <v>148</v>
      </c>
      <c r="I16" s="69" t="s">
        <v>149</v>
      </c>
      <c r="J16" s="69" t="s">
        <v>150</v>
      </c>
      <c r="K16" s="69">
        <v>1.3</v>
      </c>
      <c r="L16" s="69">
        <v>0.6</v>
      </c>
      <c r="M16" s="69">
        <v>3.2</v>
      </c>
      <c r="N16" s="69" t="s">
        <v>151</v>
      </c>
      <c r="O16" s="69">
        <f t="shared" si="1"/>
        <v>2.4960000000000004</v>
      </c>
      <c r="P16" s="69">
        <v>71</v>
      </c>
      <c r="Q16" s="69">
        <f t="shared" si="0"/>
        <v>126.55774647887327</v>
      </c>
    </row>
    <row r="17" spans="1:17" x14ac:dyDescent="0.25">
      <c r="A17" s="69"/>
      <c r="B17" s="69"/>
      <c r="C17" s="69"/>
      <c r="D17" s="69"/>
      <c r="E17" s="69">
        <v>11</v>
      </c>
      <c r="F17" s="69" t="s">
        <v>146</v>
      </c>
      <c r="G17" s="69" t="s">
        <v>147</v>
      </c>
      <c r="H17" s="69" t="s">
        <v>148</v>
      </c>
      <c r="I17" s="69" t="s">
        <v>149</v>
      </c>
      <c r="J17" s="69" t="s">
        <v>150</v>
      </c>
      <c r="K17" s="69">
        <v>1.3</v>
      </c>
      <c r="L17" s="69">
        <v>0.6</v>
      </c>
      <c r="M17" s="69">
        <v>3.2</v>
      </c>
      <c r="N17" s="69" t="s">
        <v>151</v>
      </c>
      <c r="O17" s="69">
        <f t="shared" si="1"/>
        <v>2.4960000000000004</v>
      </c>
      <c r="P17" s="69">
        <v>49</v>
      </c>
      <c r="Q17" s="69">
        <f t="shared" si="0"/>
        <v>183.37959183673473</v>
      </c>
    </row>
    <row r="18" spans="1:17" x14ac:dyDescent="0.25">
      <c r="A18" s="69"/>
      <c r="B18" s="69"/>
      <c r="C18" s="69"/>
      <c r="D18" s="69"/>
      <c r="E18" s="69">
        <v>12</v>
      </c>
      <c r="F18" s="69" t="s">
        <v>146</v>
      </c>
      <c r="G18" s="69" t="s">
        <v>147</v>
      </c>
      <c r="H18" s="69" t="s">
        <v>148</v>
      </c>
      <c r="I18" s="69" t="s">
        <v>149</v>
      </c>
      <c r="J18" s="69" t="s">
        <v>150</v>
      </c>
      <c r="K18" s="69">
        <v>1.3</v>
      </c>
      <c r="L18" s="69">
        <v>0.6</v>
      </c>
      <c r="M18" s="69">
        <v>3.2</v>
      </c>
      <c r="N18" s="69" t="s">
        <v>151</v>
      </c>
      <c r="O18" s="69">
        <f t="shared" si="1"/>
        <v>2.4960000000000004</v>
      </c>
      <c r="P18" s="69">
        <v>83</v>
      </c>
      <c r="Q18" s="69">
        <f t="shared" si="0"/>
        <v>108.26024096385545</v>
      </c>
    </row>
    <row r="19" spans="1:17" x14ac:dyDescent="0.25">
      <c r="A19" s="69"/>
      <c r="B19" s="69"/>
      <c r="C19" s="69"/>
      <c r="D19" s="69"/>
      <c r="E19" s="69">
        <v>13</v>
      </c>
      <c r="F19" s="69" t="s">
        <v>146</v>
      </c>
      <c r="G19" s="69" t="s">
        <v>147</v>
      </c>
      <c r="H19" s="69" t="s">
        <v>148</v>
      </c>
      <c r="I19" s="69" t="s">
        <v>149</v>
      </c>
      <c r="J19" s="69" t="s">
        <v>150</v>
      </c>
      <c r="K19" s="69">
        <v>1.3</v>
      </c>
      <c r="L19" s="69">
        <v>0.6</v>
      </c>
      <c r="M19" s="69">
        <v>3.2</v>
      </c>
      <c r="N19" s="69" t="s">
        <v>151</v>
      </c>
      <c r="O19" s="69">
        <f t="shared" si="1"/>
        <v>2.4960000000000004</v>
      </c>
      <c r="P19" s="69">
        <v>78</v>
      </c>
      <c r="Q19" s="69">
        <f t="shared" si="0"/>
        <v>115.20000000000003</v>
      </c>
    </row>
    <row r="20" spans="1:17" x14ac:dyDescent="0.25">
      <c r="A20" s="69"/>
      <c r="B20" s="69"/>
      <c r="C20" s="69"/>
      <c r="D20" s="69"/>
      <c r="E20" s="69">
        <v>14</v>
      </c>
      <c r="F20" s="69" t="s">
        <v>146</v>
      </c>
      <c r="G20" s="69" t="s">
        <v>147</v>
      </c>
      <c r="H20" s="69" t="s">
        <v>148</v>
      </c>
      <c r="I20" s="69" t="s">
        <v>149</v>
      </c>
      <c r="J20" s="69" t="s">
        <v>150</v>
      </c>
      <c r="K20" s="69">
        <v>1.3</v>
      </c>
      <c r="L20" s="69">
        <v>0.6</v>
      </c>
      <c r="M20" s="69">
        <v>3.2</v>
      </c>
      <c r="N20" s="69" t="s">
        <v>151</v>
      </c>
      <c r="O20" s="69">
        <f t="shared" si="1"/>
        <v>2.4960000000000004</v>
      </c>
      <c r="P20" s="69">
        <v>75</v>
      </c>
      <c r="Q20" s="69">
        <f t="shared" si="0"/>
        <v>119.80800000000004</v>
      </c>
    </row>
    <row r="21" spans="1:17" x14ac:dyDescent="0.25">
      <c r="A21" s="69"/>
      <c r="B21" s="69"/>
      <c r="C21" s="69"/>
      <c r="D21" s="69"/>
      <c r="E21" s="69">
        <v>15</v>
      </c>
      <c r="F21" s="69" t="s">
        <v>146</v>
      </c>
      <c r="G21" s="69" t="s">
        <v>147</v>
      </c>
      <c r="H21" s="69" t="s">
        <v>148</v>
      </c>
      <c r="I21" s="69" t="s">
        <v>149</v>
      </c>
      <c r="J21" s="69" t="s">
        <v>150</v>
      </c>
      <c r="K21" s="69">
        <v>1.3</v>
      </c>
      <c r="L21" s="69">
        <v>0.6</v>
      </c>
      <c r="M21" s="69">
        <v>3.2</v>
      </c>
      <c r="N21" s="69" t="s">
        <v>151</v>
      </c>
      <c r="O21" s="69">
        <f t="shared" si="1"/>
        <v>2.4960000000000004</v>
      </c>
      <c r="P21" s="69">
        <v>67</v>
      </c>
      <c r="Q21" s="69">
        <f t="shared" si="0"/>
        <v>134.11343283582093</v>
      </c>
    </row>
    <row r="22" spans="1:17" x14ac:dyDescent="0.25">
      <c r="A22" s="69"/>
      <c r="B22" s="69"/>
      <c r="C22" s="69"/>
      <c r="D22" s="69"/>
      <c r="E22" s="69">
        <v>16</v>
      </c>
      <c r="F22" s="69" t="s">
        <v>146</v>
      </c>
      <c r="G22" s="69" t="s">
        <v>147</v>
      </c>
      <c r="H22" s="69" t="s">
        <v>148</v>
      </c>
      <c r="I22" s="69" t="s">
        <v>149</v>
      </c>
      <c r="J22" s="69" t="s">
        <v>150</v>
      </c>
      <c r="K22" s="69">
        <v>1.3</v>
      </c>
      <c r="L22" s="69">
        <v>0.6</v>
      </c>
      <c r="M22" s="69">
        <v>3.2</v>
      </c>
      <c r="N22" s="69" t="s">
        <v>151</v>
      </c>
      <c r="O22" s="69">
        <f t="shared" si="1"/>
        <v>2.4960000000000004</v>
      </c>
      <c r="P22" s="69">
        <v>64</v>
      </c>
      <c r="Q22" s="69">
        <f t="shared" si="0"/>
        <v>140.40000000000003</v>
      </c>
    </row>
    <row r="23" spans="1:17" x14ac:dyDescent="0.25">
      <c r="A23" s="69"/>
      <c r="B23" s="69"/>
      <c r="C23" s="69"/>
      <c r="D23" s="69"/>
      <c r="E23" s="69">
        <v>17</v>
      </c>
      <c r="F23" s="69" t="s">
        <v>146</v>
      </c>
      <c r="G23" s="69" t="s">
        <v>147</v>
      </c>
      <c r="H23" s="69" t="s">
        <v>148</v>
      </c>
      <c r="I23" s="69" t="s">
        <v>149</v>
      </c>
      <c r="J23" s="69" t="s">
        <v>150</v>
      </c>
      <c r="K23" s="69">
        <v>1.3</v>
      </c>
      <c r="L23" s="69">
        <v>0.6</v>
      </c>
      <c r="M23" s="69">
        <v>3.2</v>
      </c>
      <c r="N23" s="69" t="s">
        <v>151</v>
      </c>
      <c r="O23" s="69">
        <f t="shared" si="1"/>
        <v>2.4960000000000004</v>
      </c>
      <c r="P23" s="69">
        <v>57</v>
      </c>
      <c r="Q23" s="69">
        <f t="shared" si="0"/>
        <v>157.64210526315793</v>
      </c>
    </row>
    <row r="24" spans="1:17" x14ac:dyDescent="0.25">
      <c r="A24" s="69"/>
      <c r="B24" s="69"/>
      <c r="C24" s="69"/>
      <c r="D24" s="69"/>
      <c r="E24" s="69">
        <v>18</v>
      </c>
      <c r="F24" s="69" t="s">
        <v>146</v>
      </c>
      <c r="G24" s="69" t="s">
        <v>147</v>
      </c>
      <c r="H24" s="69" t="s">
        <v>148</v>
      </c>
      <c r="I24" s="69" t="s">
        <v>149</v>
      </c>
      <c r="J24" s="69" t="s">
        <v>150</v>
      </c>
      <c r="K24" s="69">
        <v>1.3</v>
      </c>
      <c r="L24" s="69">
        <v>0.6</v>
      </c>
      <c r="M24" s="69">
        <v>3.2</v>
      </c>
      <c r="N24" s="69" t="s">
        <v>151</v>
      </c>
      <c r="O24" s="69">
        <f t="shared" si="1"/>
        <v>2.4960000000000004</v>
      </c>
      <c r="P24" s="69">
        <v>81</v>
      </c>
      <c r="Q24" s="69">
        <f t="shared" si="0"/>
        <v>110.93333333333337</v>
      </c>
    </row>
    <row r="25" spans="1:17" x14ac:dyDescent="0.25">
      <c r="A25" s="69"/>
      <c r="B25" s="69"/>
      <c r="C25" s="69"/>
      <c r="D25" s="69"/>
      <c r="E25" s="69">
        <v>19</v>
      </c>
      <c r="F25" s="69" t="s">
        <v>146</v>
      </c>
      <c r="G25" s="69" t="s">
        <v>147</v>
      </c>
      <c r="H25" s="69" t="s">
        <v>148</v>
      </c>
      <c r="I25" s="69" t="s">
        <v>149</v>
      </c>
      <c r="J25" s="69" t="s">
        <v>150</v>
      </c>
      <c r="K25" s="69">
        <v>1.3</v>
      </c>
      <c r="L25" s="69">
        <v>0.6</v>
      </c>
      <c r="M25" s="69">
        <v>3.2</v>
      </c>
      <c r="N25" s="69" t="s">
        <v>151</v>
      </c>
      <c r="O25" s="69">
        <f t="shared" si="1"/>
        <v>2.4960000000000004</v>
      </c>
      <c r="P25" s="69">
        <v>84</v>
      </c>
      <c r="Q25" s="69">
        <f t="shared" si="0"/>
        <v>106.9714285714286</v>
      </c>
    </row>
    <row r="26" spans="1:17" x14ac:dyDescent="0.25">
      <c r="A26" s="69"/>
      <c r="B26" s="69"/>
      <c r="C26" s="69"/>
      <c r="D26" s="69"/>
      <c r="E26" s="69">
        <v>20</v>
      </c>
      <c r="F26" s="69" t="s">
        <v>146</v>
      </c>
      <c r="G26" s="69" t="s">
        <v>147</v>
      </c>
      <c r="H26" s="69" t="s">
        <v>148</v>
      </c>
      <c r="I26" s="69" t="s">
        <v>149</v>
      </c>
      <c r="J26" s="69" t="s">
        <v>150</v>
      </c>
      <c r="K26" s="69">
        <v>1.3</v>
      </c>
      <c r="L26" s="69">
        <v>0.6</v>
      </c>
      <c r="M26" s="69">
        <v>3.2</v>
      </c>
      <c r="N26" s="69" t="s">
        <v>151</v>
      </c>
      <c r="O26" s="69">
        <f t="shared" si="1"/>
        <v>2.4960000000000004</v>
      </c>
      <c r="P26" s="69">
        <v>73</v>
      </c>
      <c r="Q26" s="69">
        <f t="shared" si="0"/>
        <v>123.09041095890414</v>
      </c>
    </row>
    <row r="27" spans="1:17" x14ac:dyDescent="0.25">
      <c r="A27" s="69"/>
      <c r="B27" s="69"/>
      <c r="C27" s="69"/>
      <c r="D27" s="69"/>
      <c r="E27" s="69">
        <v>21</v>
      </c>
      <c r="F27" s="69" t="s">
        <v>146</v>
      </c>
      <c r="G27" s="69" t="s">
        <v>147</v>
      </c>
      <c r="H27" s="69" t="s">
        <v>148</v>
      </c>
      <c r="I27" s="69" t="s">
        <v>149</v>
      </c>
      <c r="J27" s="69" t="s">
        <v>150</v>
      </c>
      <c r="K27" s="69">
        <v>1.3</v>
      </c>
      <c r="L27" s="69">
        <v>0.6</v>
      </c>
      <c r="M27" s="69">
        <v>3.2</v>
      </c>
      <c r="N27" s="69" t="s">
        <v>151</v>
      </c>
      <c r="O27" s="69">
        <f t="shared" si="1"/>
        <v>2.4960000000000004</v>
      </c>
      <c r="P27" s="69">
        <v>77</v>
      </c>
      <c r="Q27" s="69">
        <f t="shared" si="0"/>
        <v>116.69610389610392</v>
      </c>
    </row>
    <row r="28" spans="1:17" x14ac:dyDescent="0.25">
      <c r="A28" s="69"/>
      <c r="B28" s="69"/>
      <c r="C28" s="69"/>
      <c r="D28" s="69"/>
      <c r="E28" s="69">
        <v>22</v>
      </c>
      <c r="F28" s="69" t="s">
        <v>146</v>
      </c>
      <c r="G28" s="69" t="s">
        <v>147</v>
      </c>
      <c r="H28" s="69" t="s">
        <v>148</v>
      </c>
      <c r="I28" s="69" t="s">
        <v>149</v>
      </c>
      <c r="J28" s="69" t="s">
        <v>150</v>
      </c>
      <c r="K28" s="69">
        <v>1.3</v>
      </c>
      <c r="L28" s="69">
        <v>0.6</v>
      </c>
      <c r="M28" s="69">
        <v>3.2</v>
      </c>
      <c r="N28" s="69" t="s">
        <v>151</v>
      </c>
      <c r="O28" s="69">
        <f t="shared" si="1"/>
        <v>2.4960000000000004</v>
      </c>
      <c r="P28" s="69">
        <v>89</v>
      </c>
      <c r="Q28" s="69">
        <f t="shared" si="0"/>
        <v>100.96179775280902</v>
      </c>
    </row>
    <row r="29" spans="1:17" x14ac:dyDescent="0.25">
      <c r="A29" s="69"/>
      <c r="B29" s="69"/>
      <c r="C29" s="69"/>
      <c r="D29" s="69"/>
      <c r="E29" s="69">
        <v>23</v>
      </c>
      <c r="F29" s="69" t="s">
        <v>146</v>
      </c>
      <c r="G29" s="69" t="s">
        <v>147</v>
      </c>
      <c r="H29" s="69" t="s">
        <v>148</v>
      </c>
      <c r="I29" s="69" t="s">
        <v>149</v>
      </c>
      <c r="J29" s="69" t="s">
        <v>150</v>
      </c>
      <c r="K29" s="69">
        <v>1.3</v>
      </c>
      <c r="L29" s="69">
        <v>0.6</v>
      </c>
      <c r="M29" s="69">
        <v>3.2</v>
      </c>
      <c r="N29" s="69" t="s">
        <v>151</v>
      </c>
      <c r="O29" s="69">
        <f t="shared" si="1"/>
        <v>2.4960000000000004</v>
      </c>
      <c r="P29" s="69">
        <v>82</v>
      </c>
      <c r="Q29" s="69">
        <f t="shared" si="0"/>
        <v>109.58048780487808</v>
      </c>
    </row>
    <row r="30" spans="1:17" x14ac:dyDescent="0.25">
      <c r="A30" s="69"/>
      <c r="B30" s="69"/>
      <c r="C30" s="69"/>
      <c r="D30" s="69"/>
      <c r="E30" s="69">
        <v>24</v>
      </c>
      <c r="F30" s="69" t="s">
        <v>146</v>
      </c>
      <c r="G30" s="69" t="s">
        <v>147</v>
      </c>
      <c r="H30" s="69" t="s">
        <v>148</v>
      </c>
      <c r="I30" s="69" t="s">
        <v>149</v>
      </c>
      <c r="J30" s="69" t="s">
        <v>150</v>
      </c>
      <c r="K30" s="69">
        <v>1.3</v>
      </c>
      <c r="L30" s="69">
        <v>0.6</v>
      </c>
      <c r="M30" s="69">
        <v>3.2</v>
      </c>
      <c r="N30" s="69" t="s">
        <v>151</v>
      </c>
      <c r="O30" s="69">
        <f t="shared" si="1"/>
        <v>2.4960000000000004</v>
      </c>
      <c r="P30" s="69">
        <v>51</v>
      </c>
      <c r="Q30" s="69">
        <f t="shared" si="0"/>
        <v>176.1882352941177</v>
      </c>
    </row>
    <row r="31" spans="1:17" x14ac:dyDescent="0.25">
      <c r="A31" s="69"/>
      <c r="B31" s="69"/>
      <c r="C31" s="69"/>
      <c r="D31" s="69"/>
      <c r="E31" s="69">
        <v>25</v>
      </c>
      <c r="F31" s="69" t="s">
        <v>146</v>
      </c>
      <c r="G31" s="69" t="s">
        <v>147</v>
      </c>
      <c r="H31" s="69" t="s">
        <v>148</v>
      </c>
      <c r="I31" s="69" t="s">
        <v>149</v>
      </c>
      <c r="J31" s="69" t="s">
        <v>150</v>
      </c>
      <c r="K31" s="69">
        <v>1.3</v>
      </c>
      <c r="L31" s="69">
        <v>0.6</v>
      </c>
      <c r="M31" s="69">
        <v>3.2</v>
      </c>
      <c r="N31" s="69" t="s">
        <v>151</v>
      </c>
      <c r="O31" s="69">
        <f t="shared" si="1"/>
        <v>2.4960000000000004</v>
      </c>
      <c r="P31" s="69">
        <v>78</v>
      </c>
      <c r="Q31" s="69">
        <f t="shared" si="0"/>
        <v>115.20000000000003</v>
      </c>
    </row>
    <row r="32" spans="1:17" x14ac:dyDescent="0.25">
      <c r="A32" s="69"/>
      <c r="B32" s="69"/>
      <c r="C32" s="69"/>
      <c r="D32" s="69"/>
      <c r="E32" s="69">
        <v>26</v>
      </c>
      <c r="F32" s="69" t="s">
        <v>146</v>
      </c>
      <c r="G32" s="69" t="s">
        <v>147</v>
      </c>
      <c r="H32" s="69" t="s">
        <v>148</v>
      </c>
      <c r="I32" s="69" t="s">
        <v>149</v>
      </c>
      <c r="J32" s="69" t="s">
        <v>150</v>
      </c>
      <c r="K32" s="69">
        <v>1.3</v>
      </c>
      <c r="L32" s="69">
        <v>0.6</v>
      </c>
      <c r="M32" s="69">
        <v>3.2</v>
      </c>
      <c r="N32" s="69" t="s">
        <v>151</v>
      </c>
      <c r="O32" s="69">
        <f t="shared" si="1"/>
        <v>2.4960000000000004</v>
      </c>
      <c r="P32" s="69">
        <v>86</v>
      </c>
      <c r="Q32" s="69">
        <f t="shared" si="0"/>
        <v>104.48372093023258</v>
      </c>
    </row>
    <row r="33" spans="1:17" x14ac:dyDescent="0.25">
      <c r="A33" s="69"/>
      <c r="B33" s="69"/>
      <c r="C33" s="69"/>
      <c r="D33" s="69"/>
      <c r="E33" s="69">
        <v>27</v>
      </c>
      <c r="F33" s="69" t="s">
        <v>146</v>
      </c>
      <c r="G33" s="69" t="s">
        <v>147</v>
      </c>
      <c r="H33" s="69" t="s">
        <v>148</v>
      </c>
      <c r="I33" s="69" t="s">
        <v>149</v>
      </c>
      <c r="J33" s="69" t="s">
        <v>150</v>
      </c>
      <c r="K33" s="69">
        <v>1.3</v>
      </c>
      <c r="L33" s="69">
        <v>0.6</v>
      </c>
      <c r="M33" s="69">
        <v>3.2</v>
      </c>
      <c r="N33" s="69" t="s">
        <v>151</v>
      </c>
      <c r="O33" s="69">
        <f t="shared" si="1"/>
        <v>2.4960000000000004</v>
      </c>
      <c r="P33" s="69">
        <v>88</v>
      </c>
      <c r="Q33" s="69">
        <f t="shared" si="0"/>
        <v>102.10909090909094</v>
      </c>
    </row>
    <row r="34" spans="1:17" x14ac:dyDescent="0.25">
      <c r="A34" s="69"/>
      <c r="B34" s="69"/>
      <c r="C34" s="69"/>
      <c r="D34" s="69"/>
      <c r="E34" s="69">
        <v>28</v>
      </c>
      <c r="F34" s="69" t="s">
        <v>146</v>
      </c>
      <c r="G34" s="69" t="s">
        <v>147</v>
      </c>
      <c r="H34" s="69" t="s">
        <v>148</v>
      </c>
      <c r="I34" s="69" t="s">
        <v>149</v>
      </c>
      <c r="J34" s="69" t="s">
        <v>150</v>
      </c>
      <c r="K34" s="69">
        <v>1.3</v>
      </c>
      <c r="L34" s="69">
        <v>0.6</v>
      </c>
      <c r="M34" s="69">
        <v>3.2</v>
      </c>
      <c r="N34" s="69" t="s">
        <v>151</v>
      </c>
      <c r="O34" s="69">
        <f t="shared" si="1"/>
        <v>2.4960000000000004</v>
      </c>
      <c r="P34" s="69">
        <v>74</v>
      </c>
      <c r="Q34" s="69">
        <f t="shared" si="0"/>
        <v>121.42702702702705</v>
      </c>
    </row>
    <row r="35" spans="1:17" x14ac:dyDescent="0.25">
      <c r="A35" s="69"/>
      <c r="B35" s="69"/>
      <c r="C35" s="69"/>
      <c r="D35" s="69"/>
      <c r="E35" s="69">
        <v>29</v>
      </c>
      <c r="F35" s="69" t="s">
        <v>146</v>
      </c>
      <c r="G35" s="69" t="s">
        <v>147</v>
      </c>
      <c r="H35" s="69" t="s">
        <v>148</v>
      </c>
      <c r="I35" s="69" t="s">
        <v>149</v>
      </c>
      <c r="J35" s="69" t="s">
        <v>150</v>
      </c>
      <c r="K35" s="69">
        <v>1.3</v>
      </c>
      <c r="L35" s="69">
        <v>0.6</v>
      </c>
      <c r="M35" s="69">
        <v>3.2</v>
      </c>
      <c r="N35" s="69" t="s">
        <v>151</v>
      </c>
      <c r="O35" s="69">
        <f t="shared" si="1"/>
        <v>2.4960000000000004</v>
      </c>
      <c r="P35" s="69">
        <v>55</v>
      </c>
      <c r="Q35" s="69">
        <f t="shared" si="0"/>
        <v>163.37454545454548</v>
      </c>
    </row>
    <row r="36" spans="1:17" x14ac:dyDescent="0.25">
      <c r="A36" s="69"/>
      <c r="B36" s="69"/>
      <c r="C36" s="69"/>
      <c r="D36" s="69"/>
      <c r="E36" s="69">
        <v>30</v>
      </c>
      <c r="F36" s="69" t="s">
        <v>146</v>
      </c>
      <c r="G36" s="69" t="s">
        <v>147</v>
      </c>
      <c r="H36" s="69" t="s">
        <v>148</v>
      </c>
      <c r="I36" s="69" t="s">
        <v>149</v>
      </c>
      <c r="J36" s="69" t="s">
        <v>150</v>
      </c>
      <c r="K36" s="69">
        <v>1.3</v>
      </c>
      <c r="L36" s="69">
        <v>0.6</v>
      </c>
      <c r="M36" s="69">
        <v>3.2</v>
      </c>
      <c r="N36" s="69" t="s">
        <v>151</v>
      </c>
      <c r="O36" s="69">
        <f t="shared" si="1"/>
        <v>2.4960000000000004</v>
      </c>
      <c r="P36" s="69">
        <v>79</v>
      </c>
      <c r="Q36" s="69">
        <f t="shared" si="0"/>
        <v>113.74177215189876</v>
      </c>
    </row>
    <row r="37" spans="1:17" x14ac:dyDescent="0.25">
      <c r="A37" s="69"/>
      <c r="B37" s="69"/>
      <c r="C37" s="69"/>
      <c r="D37" s="69"/>
      <c r="E37" s="69">
        <v>31</v>
      </c>
      <c r="F37" s="69" t="s">
        <v>146</v>
      </c>
      <c r="G37" s="69" t="s">
        <v>147</v>
      </c>
      <c r="H37" s="69" t="s">
        <v>148</v>
      </c>
      <c r="I37" s="69" t="s">
        <v>149</v>
      </c>
      <c r="J37" s="69" t="s">
        <v>150</v>
      </c>
      <c r="K37" s="69">
        <v>1.3</v>
      </c>
      <c r="L37" s="69">
        <v>0.6</v>
      </c>
      <c r="M37" s="69">
        <v>3.2</v>
      </c>
      <c r="N37" s="69" t="s">
        <v>151</v>
      </c>
      <c r="O37" s="69">
        <f t="shared" si="1"/>
        <v>2.4960000000000004</v>
      </c>
      <c r="P37" s="69">
        <v>84</v>
      </c>
      <c r="Q37" s="69">
        <f t="shared" si="0"/>
        <v>106.9714285714286</v>
      </c>
    </row>
    <row r="38" spans="1:17" x14ac:dyDescent="0.25">
      <c r="A38" s="69"/>
      <c r="B38" s="69"/>
      <c r="C38" s="69"/>
      <c r="D38" s="69"/>
      <c r="E38" s="69">
        <v>32</v>
      </c>
      <c r="F38" s="69" t="s">
        <v>146</v>
      </c>
      <c r="G38" s="69" t="s">
        <v>147</v>
      </c>
      <c r="H38" s="69" t="s">
        <v>148</v>
      </c>
      <c r="I38" s="69" t="s">
        <v>149</v>
      </c>
      <c r="J38" s="69" t="s">
        <v>150</v>
      </c>
      <c r="K38" s="69">
        <v>1.3</v>
      </c>
      <c r="L38" s="69">
        <v>0.6</v>
      </c>
      <c r="M38" s="69">
        <v>3.2</v>
      </c>
      <c r="N38" s="69" t="s">
        <v>151</v>
      </c>
      <c r="O38" s="69">
        <f t="shared" si="1"/>
        <v>2.4960000000000004</v>
      </c>
      <c r="P38" s="69">
        <v>86</v>
      </c>
      <c r="Q38" s="69">
        <f t="shared" si="0"/>
        <v>104.48372093023258</v>
      </c>
    </row>
    <row r="39" spans="1:17" x14ac:dyDescent="0.25">
      <c r="A39" s="69"/>
      <c r="B39" s="69"/>
      <c r="C39" s="69"/>
      <c r="D39" s="69"/>
      <c r="E39" s="69">
        <v>33</v>
      </c>
      <c r="F39" s="69" t="s">
        <v>146</v>
      </c>
      <c r="G39" s="69" t="s">
        <v>147</v>
      </c>
      <c r="H39" s="69" t="s">
        <v>148</v>
      </c>
      <c r="I39" s="69" t="s">
        <v>149</v>
      </c>
      <c r="J39" s="69" t="s">
        <v>150</v>
      </c>
      <c r="K39" s="69">
        <v>1.3</v>
      </c>
      <c r="L39" s="69">
        <v>0.6</v>
      </c>
      <c r="M39" s="69">
        <v>3.2</v>
      </c>
      <c r="N39" s="69" t="s">
        <v>151</v>
      </c>
      <c r="O39" s="69">
        <f t="shared" si="1"/>
        <v>2.4960000000000004</v>
      </c>
      <c r="P39" s="69">
        <v>70</v>
      </c>
      <c r="Q39" s="69">
        <f t="shared" si="0"/>
        <v>128.36571428571432</v>
      </c>
    </row>
    <row r="40" spans="1:17" x14ac:dyDescent="0.25">
      <c r="A40" s="69"/>
      <c r="B40" s="69"/>
      <c r="C40" s="69"/>
      <c r="D40" s="69"/>
      <c r="E40" s="69">
        <v>34</v>
      </c>
      <c r="F40" s="69" t="s">
        <v>146</v>
      </c>
      <c r="G40" s="69" t="s">
        <v>147</v>
      </c>
      <c r="H40" s="69" t="s">
        <v>148</v>
      </c>
      <c r="I40" s="69" t="s">
        <v>149</v>
      </c>
      <c r="J40" s="69" t="s">
        <v>150</v>
      </c>
      <c r="K40" s="69">
        <v>1.3</v>
      </c>
      <c r="L40" s="69">
        <v>0.6</v>
      </c>
      <c r="M40" s="69">
        <v>3.2</v>
      </c>
      <c r="N40" s="69" t="s">
        <v>151</v>
      </c>
      <c r="O40" s="69">
        <f t="shared" si="1"/>
        <v>2.4960000000000004</v>
      </c>
      <c r="P40" s="69">
        <v>75</v>
      </c>
      <c r="Q40" s="69">
        <f t="shared" si="0"/>
        <v>119.80800000000004</v>
      </c>
    </row>
    <row r="41" spans="1:17" x14ac:dyDescent="0.25">
      <c r="A41" s="69"/>
      <c r="B41" s="69"/>
      <c r="C41" s="69"/>
      <c r="D41" s="69"/>
      <c r="E41" s="69">
        <v>35</v>
      </c>
      <c r="F41" s="69" t="s">
        <v>146</v>
      </c>
      <c r="G41" s="69" t="s">
        <v>147</v>
      </c>
      <c r="H41" s="69" t="s">
        <v>148</v>
      </c>
      <c r="I41" s="69" t="s">
        <v>149</v>
      </c>
      <c r="J41" s="69" t="s">
        <v>150</v>
      </c>
      <c r="K41" s="69">
        <v>1.3</v>
      </c>
      <c r="L41" s="69">
        <v>0.6</v>
      </c>
      <c r="M41" s="69">
        <v>3.2</v>
      </c>
      <c r="N41" s="69" t="s">
        <v>151</v>
      </c>
      <c r="O41" s="69">
        <f t="shared" si="1"/>
        <v>2.4960000000000004</v>
      </c>
      <c r="P41" s="69">
        <v>83</v>
      </c>
      <c r="Q41" s="69">
        <f t="shared" si="0"/>
        <v>108.26024096385545</v>
      </c>
    </row>
    <row r="42" spans="1:17" x14ac:dyDescent="0.25">
      <c r="E42" s="69">
        <v>36</v>
      </c>
      <c r="F42" s="69" t="s">
        <v>146</v>
      </c>
      <c r="G42" s="69" t="s">
        <v>147</v>
      </c>
      <c r="H42" s="69" t="s">
        <v>148</v>
      </c>
      <c r="I42" s="69" t="s">
        <v>149</v>
      </c>
      <c r="J42" s="69" t="s">
        <v>150</v>
      </c>
      <c r="K42" s="69">
        <v>1.3</v>
      </c>
      <c r="L42" s="69">
        <v>0.6</v>
      </c>
      <c r="M42" s="69">
        <v>3.2</v>
      </c>
      <c r="N42" s="69" t="s">
        <v>151</v>
      </c>
      <c r="O42" s="69">
        <f t="shared" si="1"/>
        <v>2.4960000000000004</v>
      </c>
      <c r="P42" s="69">
        <v>87</v>
      </c>
      <c r="Q42" s="69">
        <f t="shared" si="0"/>
        <v>103.28275862068968</v>
      </c>
    </row>
    <row r="43" spans="1:17" x14ac:dyDescent="0.25">
      <c r="E43" s="69">
        <v>37</v>
      </c>
      <c r="F43" s="69" t="s">
        <v>146</v>
      </c>
      <c r="G43" s="69" t="s">
        <v>147</v>
      </c>
      <c r="H43" s="69" t="s">
        <v>148</v>
      </c>
      <c r="I43" s="69" t="s">
        <v>149</v>
      </c>
      <c r="J43" s="69" t="s">
        <v>150</v>
      </c>
      <c r="K43" s="69">
        <v>1.3</v>
      </c>
      <c r="L43" s="69">
        <v>0.6</v>
      </c>
      <c r="M43" s="69">
        <v>3.2</v>
      </c>
      <c r="N43" s="69" t="s">
        <v>151</v>
      </c>
      <c r="O43" s="69">
        <f t="shared" si="1"/>
        <v>2.4960000000000004</v>
      </c>
      <c r="P43" s="69">
        <v>81</v>
      </c>
      <c r="Q43" s="69">
        <f t="shared" si="0"/>
        <v>110.93333333333337</v>
      </c>
    </row>
    <row r="44" spans="1:17" x14ac:dyDescent="0.25">
      <c r="E44" s="69">
        <v>38</v>
      </c>
      <c r="F44" s="69" t="s">
        <v>146</v>
      </c>
      <c r="G44" s="69" t="s">
        <v>147</v>
      </c>
      <c r="H44" s="69" t="s">
        <v>148</v>
      </c>
      <c r="I44" s="69" t="s">
        <v>149</v>
      </c>
      <c r="J44" s="69" t="s">
        <v>150</v>
      </c>
      <c r="K44" s="69">
        <v>1.3</v>
      </c>
      <c r="L44" s="69">
        <v>0.6</v>
      </c>
      <c r="M44" s="69">
        <v>3.2</v>
      </c>
      <c r="N44" s="69" t="s">
        <v>151</v>
      </c>
      <c r="O44" s="69">
        <f t="shared" si="1"/>
        <v>2.4960000000000004</v>
      </c>
      <c r="P44" s="69">
        <v>54</v>
      </c>
      <c r="Q44" s="69">
        <f t="shared" si="0"/>
        <v>166.40000000000003</v>
      </c>
    </row>
    <row r="45" spans="1:17" x14ac:dyDescent="0.25">
      <c r="E45" s="69">
        <v>39</v>
      </c>
      <c r="F45" s="69" t="s">
        <v>146</v>
      </c>
      <c r="G45" s="69" t="s">
        <v>147</v>
      </c>
      <c r="H45" s="69" t="s">
        <v>148</v>
      </c>
      <c r="I45" s="69" t="s">
        <v>149</v>
      </c>
      <c r="J45" s="69" t="s">
        <v>150</v>
      </c>
      <c r="K45" s="69">
        <v>1.3</v>
      </c>
      <c r="L45" s="69">
        <v>0.6</v>
      </c>
      <c r="M45" s="69">
        <v>3.2</v>
      </c>
      <c r="N45" s="69" t="s">
        <v>151</v>
      </c>
      <c r="O45" s="69">
        <f t="shared" si="1"/>
        <v>2.4960000000000004</v>
      </c>
      <c r="P45" s="69">
        <v>72</v>
      </c>
      <c r="Q45" s="69">
        <f t="shared" si="0"/>
        <v>124.80000000000003</v>
      </c>
    </row>
    <row r="46" spans="1:17" x14ac:dyDescent="0.25">
      <c r="E46" s="69">
        <v>40</v>
      </c>
      <c r="F46" s="69" t="s">
        <v>146</v>
      </c>
      <c r="G46" s="69" t="s">
        <v>147</v>
      </c>
      <c r="H46" s="69" t="s">
        <v>148</v>
      </c>
      <c r="I46" s="69" t="s">
        <v>149</v>
      </c>
      <c r="J46" s="69" t="s">
        <v>150</v>
      </c>
      <c r="K46" s="69">
        <v>1.3</v>
      </c>
      <c r="L46" s="69">
        <v>0.6</v>
      </c>
      <c r="M46" s="69">
        <v>3.2</v>
      </c>
      <c r="N46" s="69" t="s">
        <v>151</v>
      </c>
      <c r="O46" s="69">
        <f t="shared" si="1"/>
        <v>2.4960000000000004</v>
      </c>
      <c r="P46" s="69">
        <v>89</v>
      </c>
      <c r="Q46" s="69">
        <f t="shared" si="0"/>
        <v>100.96179775280902</v>
      </c>
    </row>
    <row r="47" spans="1:17" x14ac:dyDescent="0.25">
      <c r="E47" s="69">
        <v>41</v>
      </c>
      <c r="F47" s="69" t="s">
        <v>146</v>
      </c>
      <c r="G47" s="69" t="s">
        <v>147</v>
      </c>
      <c r="H47" s="69" t="s">
        <v>148</v>
      </c>
      <c r="I47" s="69" t="s">
        <v>149</v>
      </c>
      <c r="J47" s="69" t="s">
        <v>150</v>
      </c>
      <c r="K47" s="69">
        <v>1.3</v>
      </c>
      <c r="L47" s="69">
        <v>0.6</v>
      </c>
      <c r="M47" s="69">
        <v>3.2</v>
      </c>
      <c r="N47" s="69" t="s">
        <v>151</v>
      </c>
      <c r="O47" s="69">
        <f t="shared" si="1"/>
        <v>2.4960000000000004</v>
      </c>
      <c r="P47" s="69">
        <v>95</v>
      </c>
      <c r="Q47" s="69">
        <f t="shared" si="0"/>
        <v>94.585263157894758</v>
      </c>
    </row>
    <row r="48" spans="1:17" x14ac:dyDescent="0.25">
      <c r="E48" s="69">
        <v>42</v>
      </c>
      <c r="F48" s="69" t="s">
        <v>146</v>
      </c>
      <c r="G48" s="69" t="s">
        <v>147</v>
      </c>
      <c r="H48" s="69" t="s">
        <v>148</v>
      </c>
      <c r="I48" s="69" t="s">
        <v>149</v>
      </c>
      <c r="J48" s="69" t="s">
        <v>150</v>
      </c>
      <c r="K48" s="69">
        <v>1.3</v>
      </c>
      <c r="L48" s="69">
        <v>0.6</v>
      </c>
      <c r="M48" s="69">
        <v>3.2</v>
      </c>
      <c r="N48" s="69" t="s">
        <v>151</v>
      </c>
      <c r="O48" s="69">
        <f t="shared" si="1"/>
        <v>2.4960000000000004</v>
      </c>
      <c r="P48" s="69">
        <v>58</v>
      </c>
      <c r="Q48" s="69">
        <f t="shared" si="0"/>
        <v>154.92413793103452</v>
      </c>
    </row>
    <row r="49" spans="5:21" x14ac:dyDescent="0.25">
      <c r="E49" s="69">
        <v>43</v>
      </c>
      <c r="F49" s="69" t="s">
        <v>146</v>
      </c>
      <c r="G49" s="69" t="s">
        <v>147</v>
      </c>
      <c r="H49" s="69" t="s">
        <v>148</v>
      </c>
      <c r="I49" s="69" t="s">
        <v>149</v>
      </c>
      <c r="J49" s="69" t="s">
        <v>150</v>
      </c>
      <c r="K49" s="69">
        <v>1.3</v>
      </c>
      <c r="L49" s="69">
        <v>0.6</v>
      </c>
      <c r="M49" s="69">
        <v>3.2</v>
      </c>
      <c r="N49" s="69" t="s">
        <v>151</v>
      </c>
      <c r="O49" s="69">
        <f t="shared" si="1"/>
        <v>2.4960000000000004</v>
      </c>
      <c r="P49" s="69">
        <v>56</v>
      </c>
      <c r="Q49" s="69">
        <f t="shared" si="0"/>
        <v>160.45714285714288</v>
      </c>
    </row>
    <row r="50" spans="5:21" x14ac:dyDescent="0.25">
      <c r="E50" s="69">
        <v>44</v>
      </c>
      <c r="F50" s="69" t="s">
        <v>146</v>
      </c>
      <c r="G50" s="69" t="s">
        <v>147</v>
      </c>
      <c r="H50" s="69" t="s">
        <v>148</v>
      </c>
      <c r="I50" s="69" t="s">
        <v>149</v>
      </c>
      <c r="J50" s="69" t="s">
        <v>150</v>
      </c>
      <c r="K50" s="69">
        <v>1.3</v>
      </c>
      <c r="L50" s="69">
        <v>0.6</v>
      </c>
      <c r="M50" s="69">
        <v>3.2</v>
      </c>
      <c r="N50" s="69" t="s">
        <v>151</v>
      </c>
      <c r="O50" s="69">
        <f t="shared" si="1"/>
        <v>2.4960000000000004</v>
      </c>
      <c r="P50" s="69">
        <v>94</v>
      </c>
      <c r="Q50" s="69">
        <f t="shared" si="0"/>
        <v>95.591489361702145</v>
      </c>
    </row>
    <row r="51" spans="5:21" x14ac:dyDescent="0.25">
      <c r="E51" s="69">
        <v>45</v>
      </c>
      <c r="F51" s="69" t="s">
        <v>146</v>
      </c>
      <c r="G51" s="69" t="s">
        <v>147</v>
      </c>
      <c r="H51" s="69" t="s">
        <v>148</v>
      </c>
      <c r="I51" s="69" t="s">
        <v>149</v>
      </c>
      <c r="J51" s="69" t="s">
        <v>150</v>
      </c>
      <c r="K51" s="69">
        <v>1.3</v>
      </c>
      <c r="L51" s="69">
        <v>0.6</v>
      </c>
      <c r="M51" s="69">
        <v>3.2</v>
      </c>
      <c r="N51" s="69" t="s">
        <v>151</v>
      </c>
      <c r="O51" s="69">
        <f t="shared" si="1"/>
        <v>2.4960000000000004</v>
      </c>
      <c r="P51" s="69">
        <v>92</v>
      </c>
      <c r="Q51" s="69">
        <f t="shared" si="0"/>
        <v>97.669565217391323</v>
      </c>
    </row>
    <row r="52" spans="5:21" x14ac:dyDescent="0.25">
      <c r="E52" s="69">
        <v>46</v>
      </c>
      <c r="F52" s="69" t="s">
        <v>146</v>
      </c>
      <c r="G52" s="69" t="s">
        <v>147</v>
      </c>
      <c r="H52" s="69" t="s">
        <v>148</v>
      </c>
      <c r="I52" s="69" t="s">
        <v>149</v>
      </c>
      <c r="J52" s="69" t="s">
        <v>150</v>
      </c>
      <c r="K52" s="69">
        <v>1.3</v>
      </c>
      <c r="L52" s="69">
        <v>0.6</v>
      </c>
      <c r="M52" s="69">
        <v>3.2</v>
      </c>
      <c r="N52" s="69" t="s">
        <v>151</v>
      </c>
      <c r="O52" s="69">
        <f t="shared" si="1"/>
        <v>2.4960000000000004</v>
      </c>
      <c r="P52" s="69">
        <v>83</v>
      </c>
      <c r="Q52" s="69">
        <f t="shared" si="0"/>
        <v>108.26024096385545</v>
      </c>
    </row>
    <row r="53" spans="5:21" x14ac:dyDescent="0.25">
      <c r="E53" s="69">
        <v>47</v>
      </c>
      <c r="F53" s="69" t="s">
        <v>146</v>
      </c>
      <c r="G53" s="69" t="s">
        <v>147</v>
      </c>
      <c r="H53" s="69" t="s">
        <v>148</v>
      </c>
      <c r="I53" s="69" t="s">
        <v>149</v>
      </c>
      <c r="J53" s="69" t="s">
        <v>150</v>
      </c>
      <c r="K53" s="69">
        <v>1.3</v>
      </c>
      <c r="L53" s="69">
        <v>0.6</v>
      </c>
      <c r="M53" s="69">
        <v>3.2</v>
      </c>
      <c r="N53" s="69" t="s">
        <v>151</v>
      </c>
      <c r="O53" s="69">
        <f t="shared" si="1"/>
        <v>2.4960000000000004</v>
      </c>
      <c r="P53" s="69">
        <v>97</v>
      </c>
      <c r="Q53" s="69">
        <f t="shared" si="0"/>
        <v>92.635051546391779</v>
      </c>
    </row>
    <row r="54" spans="5:21" x14ac:dyDescent="0.25">
      <c r="E54" s="69">
        <v>48</v>
      </c>
      <c r="F54" s="69" t="s">
        <v>146</v>
      </c>
      <c r="G54" s="69" t="s">
        <v>147</v>
      </c>
      <c r="H54" s="69" t="s">
        <v>148</v>
      </c>
      <c r="I54" s="69" t="s">
        <v>149</v>
      </c>
      <c r="J54" s="69" t="s">
        <v>150</v>
      </c>
      <c r="K54" s="69">
        <v>1.3</v>
      </c>
      <c r="L54" s="69">
        <v>0.6</v>
      </c>
      <c r="M54" s="69">
        <v>3.2</v>
      </c>
      <c r="N54" s="69" t="s">
        <v>151</v>
      </c>
      <c r="O54" s="69">
        <f t="shared" si="1"/>
        <v>2.4960000000000004</v>
      </c>
      <c r="P54" s="69">
        <v>71</v>
      </c>
      <c r="Q54" s="69">
        <f t="shared" si="0"/>
        <v>126.55774647887327</v>
      </c>
    </row>
    <row r="55" spans="5:21" x14ac:dyDescent="0.25">
      <c r="E55" s="69">
        <v>49</v>
      </c>
      <c r="F55" s="69" t="s">
        <v>146</v>
      </c>
      <c r="G55" s="69" t="s">
        <v>147</v>
      </c>
      <c r="H55" s="69" t="s">
        <v>148</v>
      </c>
      <c r="I55" s="69" t="s">
        <v>149</v>
      </c>
      <c r="J55" s="69" t="s">
        <v>150</v>
      </c>
      <c r="K55" s="69">
        <v>1.3</v>
      </c>
      <c r="L55" s="69">
        <v>0.6</v>
      </c>
      <c r="M55" s="69">
        <v>3.2</v>
      </c>
      <c r="N55" s="69" t="s">
        <v>151</v>
      </c>
      <c r="O55" s="69">
        <f t="shared" si="1"/>
        <v>2.4960000000000004</v>
      </c>
      <c r="P55" s="69">
        <v>337</v>
      </c>
      <c r="Q55" s="69">
        <f t="shared" si="0"/>
        <v>26.663501483679532</v>
      </c>
      <c r="U55" s="1">
        <v>254</v>
      </c>
    </row>
    <row r="56" spans="5:21" x14ac:dyDescent="0.25">
      <c r="E56" s="69">
        <v>50</v>
      </c>
      <c r="F56" s="69" t="s">
        <v>146</v>
      </c>
      <c r="G56" s="69" t="s">
        <v>147</v>
      </c>
      <c r="H56" s="69" t="s">
        <v>148</v>
      </c>
      <c r="I56" s="69" t="s">
        <v>149</v>
      </c>
      <c r="J56" s="69" t="s">
        <v>150</v>
      </c>
      <c r="K56" s="69">
        <v>1.3</v>
      </c>
      <c r="L56" s="69">
        <v>0.6</v>
      </c>
      <c r="M56" s="69">
        <v>3.2</v>
      </c>
      <c r="N56" s="69" t="s">
        <v>151</v>
      </c>
      <c r="O56" s="69">
        <f t="shared" si="1"/>
        <v>2.4960000000000004</v>
      </c>
      <c r="P56" s="69">
        <v>94</v>
      </c>
      <c r="Q56" s="69">
        <f t="shared" si="0"/>
        <v>95.591489361702145</v>
      </c>
    </row>
    <row r="57" spans="5:21" x14ac:dyDescent="0.25">
      <c r="E57" s="69">
        <v>51</v>
      </c>
      <c r="F57" s="69" t="s">
        <v>146</v>
      </c>
      <c r="G57" s="69" t="s">
        <v>147</v>
      </c>
      <c r="H57" s="69" t="s">
        <v>148</v>
      </c>
      <c r="I57" s="69" t="s">
        <v>149</v>
      </c>
      <c r="J57" s="69" t="s">
        <v>150</v>
      </c>
      <c r="K57" s="69">
        <v>1.3</v>
      </c>
      <c r="L57" s="69">
        <v>0.6</v>
      </c>
      <c r="M57" s="69">
        <v>3.2</v>
      </c>
      <c r="N57" s="69" t="s">
        <v>151</v>
      </c>
      <c r="O57" s="69">
        <f t="shared" si="1"/>
        <v>2.4960000000000004</v>
      </c>
      <c r="P57" s="69">
        <v>92</v>
      </c>
      <c r="Q57" s="69">
        <f t="shared" si="0"/>
        <v>97.669565217391323</v>
      </c>
    </row>
    <row r="58" spans="5:21" x14ac:dyDescent="0.25">
      <c r="E58" s="69">
        <v>52</v>
      </c>
      <c r="F58" s="69" t="s">
        <v>146</v>
      </c>
      <c r="G58" s="69" t="s">
        <v>147</v>
      </c>
      <c r="H58" s="69" t="s">
        <v>148</v>
      </c>
      <c r="I58" s="69" t="s">
        <v>149</v>
      </c>
      <c r="J58" s="69" t="s">
        <v>150</v>
      </c>
      <c r="K58" s="69">
        <v>1.3</v>
      </c>
      <c r="L58" s="69">
        <v>0.6</v>
      </c>
      <c r="M58" s="69">
        <v>3.2</v>
      </c>
      <c r="N58" s="69" t="s">
        <v>151</v>
      </c>
      <c r="O58" s="69">
        <f t="shared" si="1"/>
        <v>2.4960000000000004</v>
      </c>
      <c r="P58" s="69">
        <v>76</v>
      </c>
      <c r="Q58" s="69">
        <f t="shared" si="0"/>
        <v>118.23157894736845</v>
      </c>
    </row>
    <row r="59" spans="5:21" x14ac:dyDescent="0.25">
      <c r="E59" s="69">
        <v>53</v>
      </c>
      <c r="F59" s="69" t="s">
        <v>146</v>
      </c>
      <c r="G59" s="69" t="s">
        <v>147</v>
      </c>
      <c r="H59" s="69" t="s">
        <v>148</v>
      </c>
      <c r="I59" s="69" t="s">
        <v>149</v>
      </c>
      <c r="J59" s="69" t="s">
        <v>150</v>
      </c>
      <c r="K59" s="69">
        <v>1.3</v>
      </c>
      <c r="L59" s="69">
        <v>0.6</v>
      </c>
      <c r="M59" s="69">
        <v>3.2</v>
      </c>
      <c r="N59" s="69" t="s">
        <v>151</v>
      </c>
      <c r="O59" s="69">
        <f t="shared" si="1"/>
        <v>2.4960000000000004</v>
      </c>
      <c r="P59" s="69">
        <v>84</v>
      </c>
      <c r="Q59" s="69">
        <f t="shared" si="0"/>
        <v>106.9714285714286</v>
      </c>
    </row>
    <row r="60" spans="5:21" x14ac:dyDescent="0.25">
      <c r="E60" s="69">
        <v>54</v>
      </c>
      <c r="F60" s="69" t="s">
        <v>146</v>
      </c>
      <c r="G60" s="69" t="s">
        <v>147</v>
      </c>
      <c r="H60" s="69" t="s">
        <v>148</v>
      </c>
      <c r="I60" s="69" t="s">
        <v>149</v>
      </c>
      <c r="J60" s="69" t="s">
        <v>150</v>
      </c>
      <c r="K60" s="69">
        <v>1.3</v>
      </c>
      <c r="L60" s="69">
        <v>0.6</v>
      </c>
      <c r="M60" s="69">
        <v>3.2</v>
      </c>
      <c r="N60" s="69" t="s">
        <v>151</v>
      </c>
      <c r="O60" s="69">
        <f t="shared" si="1"/>
        <v>2.4960000000000004</v>
      </c>
      <c r="P60" s="69">
        <v>87</v>
      </c>
      <c r="Q60" s="69">
        <f t="shared" si="0"/>
        <v>103.28275862068968</v>
      </c>
    </row>
    <row r="61" spans="5:21" x14ac:dyDescent="0.25">
      <c r="E61" s="69">
        <v>55</v>
      </c>
      <c r="F61" s="69" t="s">
        <v>146</v>
      </c>
      <c r="G61" s="69" t="s">
        <v>147</v>
      </c>
      <c r="H61" s="69" t="s">
        <v>148</v>
      </c>
      <c r="I61" s="69" t="s">
        <v>149</v>
      </c>
      <c r="J61" s="69" t="s">
        <v>150</v>
      </c>
      <c r="K61" s="69">
        <v>1.3</v>
      </c>
      <c r="L61" s="69">
        <v>0.6</v>
      </c>
      <c r="M61" s="69">
        <v>3.2</v>
      </c>
      <c r="N61" s="69" t="s">
        <v>151</v>
      </c>
      <c r="O61" s="69">
        <f t="shared" si="1"/>
        <v>2.4960000000000004</v>
      </c>
      <c r="P61" s="69">
        <v>61</v>
      </c>
      <c r="Q61" s="69">
        <f t="shared" si="0"/>
        <v>147.30491803278693</v>
      </c>
    </row>
    <row r="62" spans="5:21" x14ac:dyDescent="0.25">
      <c r="E62" s="69">
        <v>56</v>
      </c>
      <c r="F62" s="69" t="s">
        <v>146</v>
      </c>
      <c r="G62" s="69" t="s">
        <v>147</v>
      </c>
      <c r="H62" s="69" t="s">
        <v>148</v>
      </c>
      <c r="I62" s="69" t="s">
        <v>149</v>
      </c>
      <c r="J62" s="69" t="s">
        <v>150</v>
      </c>
      <c r="K62" s="69">
        <v>1.3</v>
      </c>
      <c r="L62" s="69">
        <v>0.6</v>
      </c>
      <c r="M62" s="69">
        <v>3.2</v>
      </c>
      <c r="N62" s="69" t="s">
        <v>151</v>
      </c>
      <c r="O62" s="69">
        <f t="shared" si="1"/>
        <v>2.4960000000000004</v>
      </c>
      <c r="P62" s="69">
        <v>98</v>
      </c>
      <c r="Q62" s="69">
        <f t="shared" si="0"/>
        <v>91.689795918367366</v>
      </c>
    </row>
    <row r="63" spans="5:21" x14ac:dyDescent="0.25">
      <c r="E63" s="69">
        <v>57</v>
      </c>
      <c r="F63" s="69" t="s">
        <v>146</v>
      </c>
      <c r="G63" s="69" t="s">
        <v>147</v>
      </c>
      <c r="H63" s="69" t="s">
        <v>148</v>
      </c>
      <c r="I63" s="69" t="s">
        <v>149</v>
      </c>
      <c r="J63" s="69" t="s">
        <v>150</v>
      </c>
      <c r="K63" s="69">
        <v>1.3</v>
      </c>
      <c r="L63" s="69">
        <v>0.6</v>
      </c>
      <c r="M63" s="69">
        <v>3.2</v>
      </c>
      <c r="N63" s="69" t="s">
        <v>151</v>
      </c>
      <c r="O63" s="69">
        <f t="shared" si="1"/>
        <v>2.4960000000000004</v>
      </c>
      <c r="P63" s="69">
        <v>95</v>
      </c>
      <c r="Q63" s="69">
        <f t="shared" si="0"/>
        <v>94.585263157894758</v>
      </c>
    </row>
    <row r="64" spans="5:21" x14ac:dyDescent="0.25">
      <c r="E64" s="69">
        <v>58</v>
      </c>
      <c r="F64" s="69" t="s">
        <v>146</v>
      </c>
      <c r="G64" s="69" t="s">
        <v>147</v>
      </c>
      <c r="H64" s="69" t="s">
        <v>148</v>
      </c>
      <c r="I64" s="69" t="s">
        <v>149</v>
      </c>
      <c r="J64" s="69" t="s">
        <v>150</v>
      </c>
      <c r="K64" s="69">
        <v>1.3</v>
      </c>
      <c r="L64" s="69">
        <v>0.6</v>
      </c>
      <c r="M64" s="69">
        <v>3.2</v>
      </c>
      <c r="N64" s="69" t="s">
        <v>151</v>
      </c>
      <c r="O64" s="69">
        <f t="shared" si="1"/>
        <v>2.4960000000000004</v>
      </c>
      <c r="P64" s="69">
        <v>67</v>
      </c>
      <c r="Q64" s="69">
        <f t="shared" si="0"/>
        <v>134.11343283582093</v>
      </c>
    </row>
    <row r="65" spans="5:21" x14ac:dyDescent="0.25">
      <c r="E65" s="69">
        <v>59</v>
      </c>
      <c r="F65" s="69" t="s">
        <v>146</v>
      </c>
      <c r="G65" s="69" t="s">
        <v>147</v>
      </c>
      <c r="H65" s="69" t="s">
        <v>148</v>
      </c>
      <c r="I65" s="69" t="s">
        <v>149</v>
      </c>
      <c r="J65" s="69" t="s">
        <v>150</v>
      </c>
      <c r="K65" s="69">
        <v>1.3</v>
      </c>
      <c r="L65" s="69">
        <v>0.6</v>
      </c>
      <c r="M65" s="69">
        <v>3.2</v>
      </c>
      <c r="N65" s="69" t="s">
        <v>151</v>
      </c>
      <c r="O65" s="69">
        <f t="shared" si="1"/>
        <v>2.4960000000000004</v>
      </c>
      <c r="P65" s="69">
        <v>97</v>
      </c>
      <c r="Q65" s="69">
        <f t="shared" si="0"/>
        <v>92.635051546391779</v>
      </c>
    </row>
    <row r="66" spans="5:21" x14ac:dyDescent="0.25">
      <c r="E66" s="69">
        <v>60</v>
      </c>
      <c r="F66" s="69" t="s">
        <v>146</v>
      </c>
      <c r="G66" s="69" t="s">
        <v>147</v>
      </c>
      <c r="H66" s="69" t="s">
        <v>148</v>
      </c>
      <c r="I66" s="69" t="s">
        <v>149</v>
      </c>
      <c r="J66" s="69" t="s">
        <v>150</v>
      </c>
      <c r="K66" s="69">
        <v>1.3</v>
      </c>
      <c r="L66" s="69">
        <v>0.6</v>
      </c>
      <c r="M66" s="69">
        <v>3.2</v>
      </c>
      <c r="N66" s="69" t="s">
        <v>151</v>
      </c>
      <c r="O66" s="69">
        <f t="shared" si="1"/>
        <v>2.4960000000000004</v>
      </c>
      <c r="P66" s="69">
        <v>89</v>
      </c>
      <c r="Q66" s="69">
        <f t="shared" si="0"/>
        <v>100.96179775280902</v>
      </c>
    </row>
    <row r="67" spans="5:21" x14ac:dyDescent="0.25">
      <c r="E67" s="69">
        <v>61</v>
      </c>
      <c r="F67" s="69" t="s">
        <v>146</v>
      </c>
      <c r="G67" s="69" t="s">
        <v>147</v>
      </c>
      <c r="H67" s="69" t="s">
        <v>148</v>
      </c>
      <c r="I67" s="69" t="s">
        <v>149</v>
      </c>
      <c r="J67" s="69" t="s">
        <v>150</v>
      </c>
      <c r="K67" s="69">
        <v>1.3</v>
      </c>
      <c r="L67" s="69">
        <v>0.6</v>
      </c>
      <c r="M67" s="69">
        <v>3.2</v>
      </c>
      <c r="N67" s="69" t="s">
        <v>151</v>
      </c>
      <c r="O67" s="69">
        <f t="shared" si="1"/>
        <v>2.4960000000000004</v>
      </c>
      <c r="P67" s="69">
        <v>88</v>
      </c>
      <c r="Q67" s="69">
        <f t="shared" si="0"/>
        <v>102.10909090909094</v>
      </c>
    </row>
    <row r="68" spans="5:21" x14ac:dyDescent="0.25">
      <c r="E68" s="69">
        <v>62</v>
      </c>
      <c r="F68" s="69" t="s">
        <v>146</v>
      </c>
      <c r="G68" s="69" t="s">
        <v>147</v>
      </c>
      <c r="H68" s="69" t="s">
        <v>148</v>
      </c>
      <c r="I68" s="69" t="s">
        <v>149</v>
      </c>
      <c r="J68" s="69" t="s">
        <v>150</v>
      </c>
      <c r="K68" s="69">
        <v>1.3</v>
      </c>
      <c r="L68" s="69">
        <v>0.6</v>
      </c>
      <c r="M68" s="69">
        <v>3.2</v>
      </c>
      <c r="N68" s="69" t="s">
        <v>151</v>
      </c>
      <c r="O68" s="69">
        <f t="shared" si="1"/>
        <v>2.4960000000000004</v>
      </c>
      <c r="P68" s="69">
        <v>92</v>
      </c>
      <c r="Q68" s="69">
        <f t="shared" si="0"/>
        <v>97.669565217391323</v>
      </c>
    </row>
    <row r="69" spans="5:21" x14ac:dyDescent="0.25">
      <c r="E69" s="69">
        <v>63</v>
      </c>
      <c r="F69" s="69" t="s">
        <v>146</v>
      </c>
      <c r="G69" s="69" t="s">
        <v>147</v>
      </c>
      <c r="H69" s="69" t="s">
        <v>148</v>
      </c>
      <c r="I69" s="69" t="s">
        <v>149</v>
      </c>
      <c r="J69" s="69" t="s">
        <v>150</v>
      </c>
      <c r="K69" s="69">
        <v>1.3</v>
      </c>
      <c r="L69" s="69">
        <v>0.6</v>
      </c>
      <c r="M69" s="69">
        <v>3.2</v>
      </c>
      <c r="N69" s="69" t="s">
        <v>151</v>
      </c>
      <c r="O69" s="69">
        <f t="shared" si="1"/>
        <v>2.4960000000000004</v>
      </c>
      <c r="P69" s="69">
        <v>64</v>
      </c>
      <c r="Q69" s="69">
        <f t="shared" si="0"/>
        <v>140.40000000000003</v>
      </c>
    </row>
    <row r="70" spans="5:21" x14ac:dyDescent="0.25">
      <c r="E70" s="69">
        <v>64</v>
      </c>
      <c r="F70" s="69" t="s">
        <v>146</v>
      </c>
      <c r="G70" s="69" t="s">
        <v>147</v>
      </c>
      <c r="H70" s="69" t="s">
        <v>148</v>
      </c>
      <c r="I70" s="69" t="s">
        <v>149</v>
      </c>
      <c r="J70" s="69" t="s">
        <v>150</v>
      </c>
      <c r="K70" s="69">
        <v>1.3</v>
      </c>
      <c r="L70" s="69">
        <v>0.6</v>
      </c>
      <c r="M70" s="69">
        <v>3.2</v>
      </c>
      <c r="N70" s="69" t="s">
        <v>151</v>
      </c>
      <c r="O70" s="69">
        <f t="shared" si="1"/>
        <v>2.4960000000000004</v>
      </c>
      <c r="P70" s="69">
        <v>75</v>
      </c>
      <c r="Q70" s="69">
        <f t="shared" si="0"/>
        <v>119.80800000000004</v>
      </c>
    </row>
    <row r="71" spans="5:21" x14ac:dyDescent="0.25">
      <c r="E71" s="69">
        <v>65</v>
      </c>
      <c r="F71" s="69" t="s">
        <v>146</v>
      </c>
      <c r="G71" s="69" t="s">
        <v>147</v>
      </c>
      <c r="H71" s="69" t="s">
        <v>148</v>
      </c>
      <c r="I71" s="69" t="s">
        <v>149</v>
      </c>
      <c r="J71" s="69" t="s">
        <v>150</v>
      </c>
      <c r="K71" s="69">
        <v>1.3</v>
      </c>
      <c r="L71" s="69">
        <v>0.6</v>
      </c>
      <c r="M71" s="69">
        <v>3.2</v>
      </c>
      <c r="N71" s="69" t="s">
        <v>151</v>
      </c>
      <c r="O71" s="69">
        <f t="shared" si="1"/>
        <v>2.4960000000000004</v>
      </c>
      <c r="P71" s="69">
        <v>91</v>
      </c>
      <c r="Q71" s="69">
        <f t="shared" ref="Q71:Q134" si="2">O71*3600/P71</f>
        <v>98.742857142857162</v>
      </c>
    </row>
    <row r="72" spans="5:21" x14ac:dyDescent="0.25">
      <c r="E72" s="69">
        <v>66</v>
      </c>
      <c r="F72" s="69" t="s">
        <v>146</v>
      </c>
      <c r="G72" s="69" t="s">
        <v>147</v>
      </c>
      <c r="H72" s="69" t="s">
        <v>148</v>
      </c>
      <c r="I72" s="69" t="s">
        <v>149</v>
      </c>
      <c r="J72" s="69" t="s">
        <v>150</v>
      </c>
      <c r="K72" s="69">
        <v>1.3</v>
      </c>
      <c r="L72" s="69">
        <v>0.6</v>
      </c>
      <c r="M72" s="69">
        <v>3.2</v>
      </c>
      <c r="N72" s="69" t="s">
        <v>151</v>
      </c>
      <c r="O72" s="69">
        <f t="shared" ref="O72:O135" si="3">K72*L72*M72</f>
        <v>2.4960000000000004</v>
      </c>
      <c r="P72" s="69">
        <v>86</v>
      </c>
      <c r="Q72" s="69">
        <f t="shared" si="2"/>
        <v>104.48372093023258</v>
      </c>
    </row>
    <row r="73" spans="5:21" x14ac:dyDescent="0.25">
      <c r="E73" s="69">
        <v>67</v>
      </c>
      <c r="F73" s="69" t="s">
        <v>146</v>
      </c>
      <c r="G73" s="69" t="s">
        <v>147</v>
      </c>
      <c r="H73" s="69" t="s">
        <v>148</v>
      </c>
      <c r="I73" s="69" t="s">
        <v>149</v>
      </c>
      <c r="J73" s="69" t="s">
        <v>150</v>
      </c>
      <c r="K73" s="69">
        <v>1.3</v>
      </c>
      <c r="L73" s="69">
        <v>0.6</v>
      </c>
      <c r="M73" s="69">
        <v>3.2</v>
      </c>
      <c r="N73" s="69" t="s">
        <v>151</v>
      </c>
      <c r="O73" s="69">
        <f t="shared" si="3"/>
        <v>2.4960000000000004</v>
      </c>
      <c r="P73" s="69">
        <v>97</v>
      </c>
      <c r="Q73" s="69">
        <f t="shared" si="2"/>
        <v>92.635051546391779</v>
      </c>
    </row>
    <row r="74" spans="5:21" x14ac:dyDescent="0.25">
      <c r="E74" s="69">
        <v>68</v>
      </c>
      <c r="F74" s="69" t="s">
        <v>146</v>
      </c>
      <c r="G74" s="69" t="s">
        <v>147</v>
      </c>
      <c r="H74" s="69" t="s">
        <v>148</v>
      </c>
      <c r="I74" s="69" t="s">
        <v>149</v>
      </c>
      <c r="J74" s="69" t="s">
        <v>150</v>
      </c>
      <c r="K74" s="69">
        <v>1.3</v>
      </c>
      <c r="L74" s="69">
        <v>0.6</v>
      </c>
      <c r="M74" s="69">
        <v>3.2</v>
      </c>
      <c r="N74" s="69" t="s">
        <v>151</v>
      </c>
      <c r="O74" s="69">
        <f t="shared" si="3"/>
        <v>2.4960000000000004</v>
      </c>
      <c r="P74" s="69">
        <v>82</v>
      </c>
      <c r="Q74" s="69">
        <f t="shared" si="2"/>
        <v>109.58048780487808</v>
      </c>
    </row>
    <row r="75" spans="5:21" x14ac:dyDescent="0.25">
      <c r="E75" s="69">
        <v>69</v>
      </c>
      <c r="F75" s="69" t="s">
        <v>146</v>
      </c>
      <c r="G75" s="69" t="s">
        <v>147</v>
      </c>
      <c r="H75" s="69" t="s">
        <v>148</v>
      </c>
      <c r="I75" s="69" t="s">
        <v>149</v>
      </c>
      <c r="J75" s="69" t="s">
        <v>150</v>
      </c>
      <c r="K75" s="69">
        <v>1.3</v>
      </c>
      <c r="L75" s="69">
        <v>0.6</v>
      </c>
      <c r="M75" s="69">
        <v>3.2</v>
      </c>
      <c r="N75" s="69" t="s">
        <v>151</v>
      </c>
      <c r="O75" s="69">
        <f t="shared" si="3"/>
        <v>2.4960000000000004</v>
      </c>
      <c r="P75" s="69">
        <v>60</v>
      </c>
      <c r="Q75" s="69">
        <f t="shared" si="2"/>
        <v>149.76000000000005</v>
      </c>
    </row>
    <row r="76" spans="5:21" x14ac:dyDescent="0.25">
      <c r="E76" s="69">
        <v>70</v>
      </c>
      <c r="F76" s="69" t="s">
        <v>146</v>
      </c>
      <c r="G76" s="69" t="s">
        <v>147</v>
      </c>
      <c r="H76" s="69" t="s">
        <v>148</v>
      </c>
      <c r="I76" s="69" t="s">
        <v>149</v>
      </c>
      <c r="J76" s="69" t="s">
        <v>150</v>
      </c>
      <c r="K76" s="69">
        <v>1.3</v>
      </c>
      <c r="L76" s="69">
        <v>0.6</v>
      </c>
      <c r="M76" s="69">
        <v>3.2</v>
      </c>
      <c r="N76" s="69" t="s">
        <v>151</v>
      </c>
      <c r="O76" s="69">
        <f t="shared" si="3"/>
        <v>2.4960000000000004</v>
      </c>
      <c r="P76" s="69">
        <v>98</v>
      </c>
      <c r="Q76" s="69">
        <f t="shared" si="2"/>
        <v>91.689795918367366</v>
      </c>
    </row>
    <row r="77" spans="5:21" x14ac:dyDescent="0.25">
      <c r="E77" s="69">
        <v>71</v>
      </c>
      <c r="F77" s="69" t="s">
        <v>146</v>
      </c>
      <c r="G77" s="69" t="s">
        <v>147</v>
      </c>
      <c r="H77" s="69" t="s">
        <v>148</v>
      </c>
      <c r="I77" s="69" t="s">
        <v>149</v>
      </c>
      <c r="J77" s="69" t="s">
        <v>150</v>
      </c>
      <c r="K77" s="69">
        <v>1.3</v>
      </c>
      <c r="L77" s="69">
        <v>0.6</v>
      </c>
      <c r="M77" s="69">
        <v>3.2</v>
      </c>
      <c r="N77" s="69" t="s">
        <v>151</v>
      </c>
      <c r="O77" s="69">
        <f t="shared" si="3"/>
        <v>2.4960000000000004</v>
      </c>
      <c r="P77" s="69">
        <v>102</v>
      </c>
      <c r="Q77" s="69">
        <f t="shared" si="2"/>
        <v>88.094117647058852</v>
      </c>
    </row>
    <row r="78" spans="5:21" x14ac:dyDescent="0.25">
      <c r="E78" s="69">
        <v>72</v>
      </c>
      <c r="F78" s="69" t="s">
        <v>146</v>
      </c>
      <c r="G78" s="69" t="s">
        <v>147</v>
      </c>
      <c r="H78" s="69" t="s">
        <v>148</v>
      </c>
      <c r="I78" s="69" t="s">
        <v>149</v>
      </c>
      <c r="J78" s="69" t="s">
        <v>150</v>
      </c>
      <c r="K78" s="69">
        <v>1.3</v>
      </c>
      <c r="L78" s="69">
        <v>0.6</v>
      </c>
      <c r="M78" s="69">
        <v>3.2</v>
      </c>
      <c r="N78" s="69" t="s">
        <v>151</v>
      </c>
      <c r="O78" s="69">
        <f t="shared" si="3"/>
        <v>2.4960000000000004</v>
      </c>
      <c r="P78" s="69">
        <v>1258</v>
      </c>
      <c r="Q78" s="69">
        <f t="shared" si="2"/>
        <v>7.1427662957074736</v>
      </c>
      <c r="U78" s="1">
        <v>1209</v>
      </c>
    </row>
    <row r="79" spans="5:21" x14ac:dyDescent="0.25">
      <c r="E79" s="69">
        <v>73</v>
      </c>
      <c r="F79" s="69" t="s">
        <v>146</v>
      </c>
      <c r="G79" s="69" t="s">
        <v>147</v>
      </c>
      <c r="H79" s="69" t="s">
        <v>148</v>
      </c>
      <c r="I79" s="69" t="s">
        <v>149</v>
      </c>
      <c r="J79" s="69" t="s">
        <v>150</v>
      </c>
      <c r="K79" s="69">
        <v>1.3</v>
      </c>
      <c r="L79" s="69">
        <v>0.6</v>
      </c>
      <c r="M79" s="69">
        <v>3.2</v>
      </c>
      <c r="N79" s="69" t="s">
        <v>151</v>
      </c>
      <c r="O79" s="69">
        <f t="shared" si="3"/>
        <v>2.4960000000000004</v>
      </c>
      <c r="P79" s="69">
        <v>97</v>
      </c>
      <c r="Q79" s="69">
        <f t="shared" si="2"/>
        <v>92.635051546391779</v>
      </c>
    </row>
    <row r="80" spans="5:21" x14ac:dyDescent="0.25">
      <c r="E80" s="69">
        <v>74</v>
      </c>
      <c r="F80" s="69" t="s">
        <v>146</v>
      </c>
      <c r="G80" s="69" t="s">
        <v>147</v>
      </c>
      <c r="H80" s="69" t="s">
        <v>148</v>
      </c>
      <c r="I80" s="69" t="s">
        <v>149</v>
      </c>
      <c r="J80" s="69" t="s">
        <v>150</v>
      </c>
      <c r="K80" s="69">
        <v>1.3</v>
      </c>
      <c r="L80" s="69">
        <v>0.6</v>
      </c>
      <c r="M80" s="69">
        <v>3.2</v>
      </c>
      <c r="N80" s="69" t="s">
        <v>151</v>
      </c>
      <c r="O80" s="69">
        <f t="shared" si="3"/>
        <v>2.4960000000000004</v>
      </c>
      <c r="P80" s="69">
        <v>101</v>
      </c>
      <c r="Q80" s="69">
        <f t="shared" si="2"/>
        <v>88.966336633663389</v>
      </c>
    </row>
    <row r="81" spans="5:17" x14ac:dyDescent="0.25">
      <c r="E81" s="69">
        <v>75</v>
      </c>
      <c r="F81" s="69" t="s">
        <v>146</v>
      </c>
      <c r="G81" s="69" t="s">
        <v>147</v>
      </c>
      <c r="H81" s="69" t="s">
        <v>148</v>
      </c>
      <c r="I81" s="69" t="s">
        <v>149</v>
      </c>
      <c r="J81" s="69" t="s">
        <v>150</v>
      </c>
      <c r="K81" s="69">
        <v>1.3</v>
      </c>
      <c r="L81" s="69">
        <v>0.6</v>
      </c>
      <c r="M81" s="69">
        <v>3.2</v>
      </c>
      <c r="N81" s="69" t="s">
        <v>151</v>
      </c>
      <c r="O81" s="69">
        <f t="shared" si="3"/>
        <v>2.4960000000000004</v>
      </c>
      <c r="P81" s="69">
        <v>71</v>
      </c>
      <c r="Q81" s="69">
        <f t="shared" si="2"/>
        <v>126.55774647887327</v>
      </c>
    </row>
    <row r="82" spans="5:17" x14ac:dyDescent="0.25">
      <c r="E82" s="69">
        <v>76</v>
      </c>
      <c r="F82" s="69" t="s">
        <v>146</v>
      </c>
      <c r="G82" s="69" t="s">
        <v>147</v>
      </c>
      <c r="H82" s="69" t="s">
        <v>148</v>
      </c>
      <c r="I82" s="69" t="s">
        <v>149</v>
      </c>
      <c r="J82" s="69" t="s">
        <v>150</v>
      </c>
      <c r="K82" s="69">
        <v>1.3</v>
      </c>
      <c r="L82" s="69">
        <v>0.6</v>
      </c>
      <c r="M82" s="69">
        <v>3.2</v>
      </c>
      <c r="N82" s="69" t="s">
        <v>151</v>
      </c>
      <c r="O82" s="69">
        <f t="shared" si="3"/>
        <v>2.4960000000000004</v>
      </c>
      <c r="P82" s="69">
        <v>79</v>
      </c>
      <c r="Q82" s="69">
        <f t="shared" si="2"/>
        <v>113.74177215189876</v>
      </c>
    </row>
    <row r="83" spans="5:17" x14ac:dyDescent="0.25">
      <c r="E83" s="69">
        <v>77</v>
      </c>
      <c r="F83" s="69" t="s">
        <v>146</v>
      </c>
      <c r="G83" s="69" t="s">
        <v>147</v>
      </c>
      <c r="H83" s="69" t="s">
        <v>148</v>
      </c>
      <c r="I83" s="69" t="s">
        <v>149</v>
      </c>
      <c r="J83" s="69" t="s">
        <v>150</v>
      </c>
      <c r="K83" s="69">
        <v>1.3</v>
      </c>
      <c r="L83" s="69">
        <v>0.6</v>
      </c>
      <c r="M83" s="69">
        <v>3.2</v>
      </c>
      <c r="N83" s="69" t="s">
        <v>151</v>
      </c>
      <c r="O83" s="69">
        <f t="shared" si="3"/>
        <v>2.4960000000000004</v>
      </c>
      <c r="P83" s="69">
        <v>87</v>
      </c>
      <c r="Q83" s="69">
        <f t="shared" si="2"/>
        <v>103.28275862068968</v>
      </c>
    </row>
    <row r="84" spans="5:17" x14ac:dyDescent="0.25">
      <c r="E84" s="69">
        <v>78</v>
      </c>
      <c r="F84" s="69" t="s">
        <v>146</v>
      </c>
      <c r="G84" s="69" t="s">
        <v>147</v>
      </c>
      <c r="H84" s="69" t="s">
        <v>148</v>
      </c>
      <c r="I84" s="69" t="s">
        <v>149</v>
      </c>
      <c r="J84" s="69" t="s">
        <v>150</v>
      </c>
      <c r="K84" s="69">
        <v>1.3</v>
      </c>
      <c r="L84" s="69">
        <v>0.6</v>
      </c>
      <c r="M84" s="69">
        <v>3.2</v>
      </c>
      <c r="N84" s="69" t="s">
        <v>151</v>
      </c>
      <c r="O84" s="69">
        <f t="shared" si="3"/>
        <v>2.4960000000000004</v>
      </c>
      <c r="P84" s="69">
        <v>92</v>
      </c>
      <c r="Q84" s="69">
        <f t="shared" si="2"/>
        <v>97.669565217391323</v>
      </c>
    </row>
    <row r="85" spans="5:17" x14ac:dyDescent="0.25">
      <c r="E85" s="69">
        <v>79</v>
      </c>
      <c r="F85" s="69" t="s">
        <v>146</v>
      </c>
      <c r="G85" s="69" t="s">
        <v>147</v>
      </c>
      <c r="H85" s="69" t="s">
        <v>148</v>
      </c>
      <c r="I85" s="69" t="s">
        <v>149</v>
      </c>
      <c r="J85" s="69" t="s">
        <v>150</v>
      </c>
      <c r="K85" s="69">
        <v>1.3</v>
      </c>
      <c r="L85" s="69">
        <v>0.6</v>
      </c>
      <c r="M85" s="69">
        <v>3.2</v>
      </c>
      <c r="N85" s="69" t="s">
        <v>151</v>
      </c>
      <c r="O85" s="69">
        <f t="shared" si="3"/>
        <v>2.4960000000000004</v>
      </c>
      <c r="P85" s="69">
        <v>96</v>
      </c>
      <c r="Q85" s="69">
        <f t="shared" si="2"/>
        <v>93.600000000000023</v>
      </c>
    </row>
    <row r="86" spans="5:17" x14ac:dyDescent="0.25">
      <c r="E86" s="69">
        <v>80</v>
      </c>
      <c r="F86" s="69" t="s">
        <v>146</v>
      </c>
      <c r="G86" s="69" t="s">
        <v>147</v>
      </c>
      <c r="H86" s="69" t="s">
        <v>148</v>
      </c>
      <c r="I86" s="69" t="s">
        <v>149</v>
      </c>
      <c r="J86" s="69" t="s">
        <v>150</v>
      </c>
      <c r="K86" s="69">
        <v>1.3</v>
      </c>
      <c r="L86" s="69">
        <v>0.6</v>
      </c>
      <c r="M86" s="69">
        <v>3.2</v>
      </c>
      <c r="N86" s="69" t="s">
        <v>151</v>
      </c>
      <c r="O86" s="69">
        <f t="shared" si="3"/>
        <v>2.4960000000000004</v>
      </c>
      <c r="P86" s="69">
        <v>98</v>
      </c>
      <c r="Q86" s="69">
        <f t="shared" si="2"/>
        <v>91.689795918367366</v>
      </c>
    </row>
    <row r="87" spans="5:17" x14ac:dyDescent="0.25">
      <c r="E87" s="69">
        <v>81</v>
      </c>
      <c r="F87" s="69" t="s">
        <v>146</v>
      </c>
      <c r="G87" s="69" t="s">
        <v>147</v>
      </c>
      <c r="H87" s="69" t="s">
        <v>148</v>
      </c>
      <c r="I87" s="69" t="s">
        <v>149</v>
      </c>
      <c r="J87" s="69" t="s">
        <v>150</v>
      </c>
      <c r="K87" s="69">
        <v>1.3</v>
      </c>
      <c r="L87" s="69">
        <v>0.6</v>
      </c>
      <c r="M87" s="69">
        <v>3.2</v>
      </c>
      <c r="N87" s="69" t="s">
        <v>151</v>
      </c>
      <c r="O87" s="69">
        <f t="shared" si="3"/>
        <v>2.4960000000000004</v>
      </c>
      <c r="P87" s="69">
        <v>66</v>
      </c>
      <c r="Q87" s="69">
        <f t="shared" si="2"/>
        <v>136.14545454545458</v>
      </c>
    </row>
    <row r="88" spans="5:17" x14ac:dyDescent="0.25">
      <c r="E88" s="69">
        <v>82</v>
      </c>
      <c r="F88" s="69" t="s">
        <v>146</v>
      </c>
      <c r="G88" s="69" t="s">
        <v>147</v>
      </c>
      <c r="H88" s="69" t="s">
        <v>148</v>
      </c>
      <c r="I88" s="69" t="s">
        <v>149</v>
      </c>
      <c r="J88" s="69" t="s">
        <v>150</v>
      </c>
      <c r="K88" s="69">
        <v>1.3</v>
      </c>
      <c r="L88" s="69">
        <v>0.6</v>
      </c>
      <c r="M88" s="69">
        <v>3.2</v>
      </c>
      <c r="N88" s="69" t="s">
        <v>151</v>
      </c>
      <c r="O88" s="69">
        <f t="shared" si="3"/>
        <v>2.4960000000000004</v>
      </c>
      <c r="P88" s="69">
        <v>107</v>
      </c>
      <c r="Q88" s="69">
        <f t="shared" si="2"/>
        <v>83.97757009345797</v>
      </c>
    </row>
    <row r="89" spans="5:17" x14ac:dyDescent="0.25">
      <c r="E89" s="69">
        <v>83</v>
      </c>
      <c r="F89" s="69" t="s">
        <v>146</v>
      </c>
      <c r="G89" s="69" t="s">
        <v>147</v>
      </c>
      <c r="H89" s="69" t="s">
        <v>148</v>
      </c>
      <c r="I89" s="69" t="s">
        <v>149</v>
      </c>
      <c r="J89" s="69" t="s">
        <v>150</v>
      </c>
      <c r="K89" s="69">
        <v>1.3</v>
      </c>
      <c r="L89" s="69">
        <v>0.6</v>
      </c>
      <c r="M89" s="69">
        <v>3.2</v>
      </c>
      <c r="N89" s="69" t="s">
        <v>151</v>
      </c>
      <c r="O89" s="69">
        <f t="shared" si="3"/>
        <v>2.4960000000000004</v>
      </c>
      <c r="P89" s="69">
        <v>102</v>
      </c>
      <c r="Q89" s="69">
        <f t="shared" si="2"/>
        <v>88.094117647058852</v>
      </c>
    </row>
    <row r="90" spans="5:17" x14ac:dyDescent="0.25">
      <c r="E90" s="69">
        <v>84</v>
      </c>
      <c r="F90" s="69" t="s">
        <v>146</v>
      </c>
      <c r="G90" s="69" t="s">
        <v>147</v>
      </c>
      <c r="H90" s="69" t="s">
        <v>148</v>
      </c>
      <c r="I90" s="69" t="s">
        <v>149</v>
      </c>
      <c r="J90" s="69" t="s">
        <v>150</v>
      </c>
      <c r="K90" s="69">
        <v>1.3</v>
      </c>
      <c r="L90" s="69">
        <v>0.6</v>
      </c>
      <c r="M90" s="69">
        <v>3.2</v>
      </c>
      <c r="N90" s="69" t="s">
        <v>151</v>
      </c>
      <c r="O90" s="69">
        <f t="shared" si="3"/>
        <v>2.4960000000000004</v>
      </c>
      <c r="P90" s="69">
        <v>69</v>
      </c>
      <c r="Q90" s="69">
        <f t="shared" si="2"/>
        <v>130.22608695652178</v>
      </c>
    </row>
    <row r="91" spans="5:17" x14ac:dyDescent="0.25">
      <c r="E91" s="69">
        <v>85</v>
      </c>
      <c r="F91" s="69" t="s">
        <v>146</v>
      </c>
      <c r="G91" s="69" t="s">
        <v>147</v>
      </c>
      <c r="H91" s="69" t="s">
        <v>148</v>
      </c>
      <c r="I91" s="69" t="s">
        <v>149</v>
      </c>
      <c r="J91" s="69" t="s">
        <v>150</v>
      </c>
      <c r="K91" s="69">
        <v>1.3</v>
      </c>
      <c r="L91" s="69">
        <v>0.6</v>
      </c>
      <c r="M91" s="69">
        <v>3.2</v>
      </c>
      <c r="N91" s="69" t="s">
        <v>151</v>
      </c>
      <c r="O91" s="69">
        <f t="shared" si="3"/>
        <v>2.4960000000000004</v>
      </c>
      <c r="P91" s="69">
        <v>91</v>
      </c>
      <c r="Q91" s="69">
        <f t="shared" si="2"/>
        <v>98.742857142857162</v>
      </c>
    </row>
    <row r="92" spans="5:17" x14ac:dyDescent="0.25">
      <c r="E92" s="69">
        <v>86</v>
      </c>
      <c r="F92" s="69" t="s">
        <v>146</v>
      </c>
      <c r="G92" s="69" t="s">
        <v>147</v>
      </c>
      <c r="H92" s="69" t="s">
        <v>148</v>
      </c>
      <c r="I92" s="69" t="s">
        <v>149</v>
      </c>
      <c r="J92" s="69" t="s">
        <v>150</v>
      </c>
      <c r="K92" s="69">
        <v>1.3</v>
      </c>
      <c r="L92" s="69">
        <v>0.6</v>
      </c>
      <c r="M92" s="69">
        <v>3.2</v>
      </c>
      <c r="N92" s="69" t="s">
        <v>151</v>
      </c>
      <c r="O92" s="69">
        <f t="shared" si="3"/>
        <v>2.4960000000000004</v>
      </c>
      <c r="P92" s="69">
        <v>88</v>
      </c>
      <c r="Q92" s="69">
        <f t="shared" si="2"/>
        <v>102.10909090909094</v>
      </c>
    </row>
    <row r="93" spans="5:17" x14ac:dyDescent="0.25">
      <c r="E93" s="69">
        <v>87</v>
      </c>
      <c r="F93" s="69" t="s">
        <v>146</v>
      </c>
      <c r="G93" s="69" t="s">
        <v>147</v>
      </c>
      <c r="H93" s="69" t="s">
        <v>148</v>
      </c>
      <c r="I93" s="69" t="s">
        <v>149</v>
      </c>
      <c r="J93" s="69" t="s">
        <v>150</v>
      </c>
      <c r="K93" s="69">
        <v>1.3</v>
      </c>
      <c r="L93" s="69">
        <v>0.6</v>
      </c>
      <c r="M93" s="69">
        <v>3.2</v>
      </c>
      <c r="N93" s="69" t="s">
        <v>151</v>
      </c>
      <c r="O93" s="69">
        <f t="shared" si="3"/>
        <v>2.4960000000000004</v>
      </c>
      <c r="P93" s="69">
        <v>74</v>
      </c>
      <c r="Q93" s="69">
        <f t="shared" si="2"/>
        <v>121.42702702702705</v>
      </c>
    </row>
    <row r="94" spans="5:17" x14ac:dyDescent="0.25">
      <c r="E94" s="69">
        <v>88</v>
      </c>
      <c r="F94" s="69" t="s">
        <v>146</v>
      </c>
      <c r="G94" s="69" t="s">
        <v>147</v>
      </c>
      <c r="H94" s="69" t="s">
        <v>148</v>
      </c>
      <c r="I94" s="69" t="s">
        <v>149</v>
      </c>
      <c r="J94" s="69" t="s">
        <v>150</v>
      </c>
      <c r="K94" s="69">
        <v>1.3</v>
      </c>
      <c r="L94" s="69">
        <v>0.6</v>
      </c>
      <c r="M94" s="69">
        <v>3.2</v>
      </c>
      <c r="N94" s="69" t="s">
        <v>151</v>
      </c>
      <c r="O94" s="69">
        <f t="shared" si="3"/>
        <v>2.4960000000000004</v>
      </c>
      <c r="P94" s="69">
        <v>83</v>
      </c>
      <c r="Q94" s="69">
        <f t="shared" si="2"/>
        <v>108.26024096385545</v>
      </c>
    </row>
    <row r="95" spans="5:17" x14ac:dyDescent="0.25">
      <c r="E95" s="69">
        <v>89</v>
      </c>
      <c r="F95" s="69" t="s">
        <v>146</v>
      </c>
      <c r="G95" s="69" t="s">
        <v>147</v>
      </c>
      <c r="H95" s="69" t="s">
        <v>148</v>
      </c>
      <c r="I95" s="69" t="s">
        <v>149</v>
      </c>
      <c r="J95" s="69" t="s">
        <v>150</v>
      </c>
      <c r="K95" s="69">
        <v>1.3</v>
      </c>
      <c r="L95" s="69">
        <v>0.6</v>
      </c>
      <c r="M95" s="69">
        <v>3.2</v>
      </c>
      <c r="N95" s="69" t="s">
        <v>151</v>
      </c>
      <c r="O95" s="69">
        <f t="shared" si="3"/>
        <v>2.4960000000000004</v>
      </c>
      <c r="P95" s="69">
        <v>97</v>
      </c>
      <c r="Q95" s="69">
        <f t="shared" si="2"/>
        <v>92.635051546391779</v>
      </c>
    </row>
    <row r="96" spans="5:17" x14ac:dyDescent="0.25">
      <c r="E96" s="69">
        <v>90</v>
      </c>
      <c r="F96" s="69" t="s">
        <v>146</v>
      </c>
      <c r="G96" s="69" t="s">
        <v>147</v>
      </c>
      <c r="H96" s="69" t="s">
        <v>148</v>
      </c>
      <c r="I96" s="69" t="s">
        <v>149</v>
      </c>
      <c r="J96" s="69" t="s">
        <v>150</v>
      </c>
      <c r="K96" s="69">
        <v>1.3</v>
      </c>
      <c r="L96" s="69">
        <v>0.6</v>
      </c>
      <c r="M96" s="69">
        <v>3.2</v>
      </c>
      <c r="N96" s="69" t="s">
        <v>151</v>
      </c>
      <c r="O96" s="69">
        <f t="shared" si="3"/>
        <v>2.4960000000000004</v>
      </c>
      <c r="P96" s="69">
        <v>92</v>
      </c>
      <c r="Q96" s="69">
        <f t="shared" si="2"/>
        <v>97.669565217391323</v>
      </c>
    </row>
    <row r="97" spans="5:17" x14ac:dyDescent="0.25">
      <c r="E97" s="69">
        <v>91</v>
      </c>
      <c r="F97" s="69" t="s">
        <v>146</v>
      </c>
      <c r="G97" s="69" t="s">
        <v>147</v>
      </c>
      <c r="H97" s="69" t="s">
        <v>148</v>
      </c>
      <c r="I97" s="69" t="s">
        <v>149</v>
      </c>
      <c r="J97" s="69" t="s">
        <v>150</v>
      </c>
      <c r="K97" s="69">
        <v>1.3</v>
      </c>
      <c r="L97" s="69">
        <v>0.6</v>
      </c>
      <c r="M97" s="69">
        <v>3.2</v>
      </c>
      <c r="N97" s="69" t="s">
        <v>151</v>
      </c>
      <c r="O97" s="69">
        <f t="shared" si="3"/>
        <v>2.4960000000000004</v>
      </c>
      <c r="P97" s="69">
        <v>97</v>
      </c>
      <c r="Q97" s="69">
        <f t="shared" si="2"/>
        <v>92.635051546391779</v>
      </c>
    </row>
    <row r="98" spans="5:17" x14ac:dyDescent="0.25">
      <c r="E98" s="69">
        <v>92</v>
      </c>
      <c r="F98" s="69" t="s">
        <v>146</v>
      </c>
      <c r="G98" s="69" t="s">
        <v>147</v>
      </c>
      <c r="H98" s="69" t="s">
        <v>148</v>
      </c>
      <c r="I98" s="69" t="s">
        <v>149</v>
      </c>
      <c r="J98" s="69" t="s">
        <v>150</v>
      </c>
      <c r="K98" s="69">
        <v>1.3</v>
      </c>
      <c r="L98" s="69">
        <v>0.6</v>
      </c>
      <c r="M98" s="69">
        <v>3.2</v>
      </c>
      <c r="N98" s="69" t="s">
        <v>151</v>
      </c>
      <c r="O98" s="69">
        <f t="shared" si="3"/>
        <v>2.4960000000000004</v>
      </c>
      <c r="P98" s="69">
        <v>58</v>
      </c>
      <c r="Q98" s="69">
        <f t="shared" si="2"/>
        <v>154.92413793103452</v>
      </c>
    </row>
    <row r="99" spans="5:17" x14ac:dyDescent="0.25">
      <c r="E99" s="69">
        <v>93</v>
      </c>
      <c r="F99" s="69" t="s">
        <v>146</v>
      </c>
      <c r="G99" s="69" t="s">
        <v>147</v>
      </c>
      <c r="H99" s="69" t="s">
        <v>148</v>
      </c>
      <c r="I99" s="69" t="s">
        <v>149</v>
      </c>
      <c r="J99" s="69" t="s">
        <v>150</v>
      </c>
      <c r="K99" s="69">
        <v>1.3</v>
      </c>
      <c r="L99" s="69">
        <v>0.6</v>
      </c>
      <c r="M99" s="69">
        <v>3.2</v>
      </c>
      <c r="N99" s="69" t="s">
        <v>151</v>
      </c>
      <c r="O99" s="69">
        <f t="shared" si="3"/>
        <v>2.4960000000000004</v>
      </c>
      <c r="P99" s="69">
        <v>109</v>
      </c>
      <c r="Q99" s="69">
        <f t="shared" si="2"/>
        <v>82.436697247706448</v>
      </c>
    </row>
    <row r="100" spans="5:17" x14ac:dyDescent="0.25">
      <c r="E100" s="69">
        <v>94</v>
      </c>
      <c r="F100" s="69" t="s">
        <v>146</v>
      </c>
      <c r="G100" s="69" t="s">
        <v>147</v>
      </c>
      <c r="H100" s="69" t="s">
        <v>148</v>
      </c>
      <c r="I100" s="69" t="s">
        <v>149</v>
      </c>
      <c r="J100" s="69" t="s">
        <v>150</v>
      </c>
      <c r="K100" s="69">
        <v>1.3</v>
      </c>
      <c r="L100" s="69">
        <v>0.6</v>
      </c>
      <c r="M100" s="69">
        <v>3.2</v>
      </c>
      <c r="N100" s="69" t="s">
        <v>151</v>
      </c>
      <c r="O100" s="69">
        <f t="shared" si="3"/>
        <v>2.4960000000000004</v>
      </c>
      <c r="P100" s="69">
        <v>94</v>
      </c>
      <c r="Q100" s="69">
        <f t="shared" si="2"/>
        <v>95.591489361702145</v>
      </c>
    </row>
    <row r="101" spans="5:17" x14ac:dyDescent="0.25">
      <c r="E101" s="69">
        <v>95</v>
      </c>
      <c r="F101" s="69" t="s">
        <v>146</v>
      </c>
      <c r="G101" s="69" t="s">
        <v>147</v>
      </c>
      <c r="H101" s="69" t="s">
        <v>148</v>
      </c>
      <c r="I101" s="69" t="s">
        <v>149</v>
      </c>
      <c r="J101" s="69" t="s">
        <v>150</v>
      </c>
      <c r="K101" s="69">
        <v>1.3</v>
      </c>
      <c r="L101" s="69">
        <v>0.6</v>
      </c>
      <c r="M101" s="69">
        <v>3.2</v>
      </c>
      <c r="N101" s="69" t="s">
        <v>151</v>
      </c>
      <c r="O101" s="69">
        <f t="shared" si="3"/>
        <v>2.4960000000000004</v>
      </c>
      <c r="P101" s="69">
        <v>102</v>
      </c>
      <c r="Q101" s="69">
        <f t="shared" si="2"/>
        <v>88.094117647058852</v>
      </c>
    </row>
    <row r="102" spans="5:17" x14ac:dyDescent="0.25">
      <c r="E102" s="69">
        <v>96</v>
      </c>
      <c r="F102" s="69" t="s">
        <v>146</v>
      </c>
      <c r="G102" s="69" t="s">
        <v>147</v>
      </c>
      <c r="H102" s="69" t="s">
        <v>148</v>
      </c>
      <c r="I102" s="69" t="s">
        <v>149</v>
      </c>
      <c r="J102" s="69" t="s">
        <v>150</v>
      </c>
      <c r="K102" s="69">
        <v>1.3</v>
      </c>
      <c r="L102" s="69">
        <v>0.6</v>
      </c>
      <c r="M102" s="69">
        <v>3.2</v>
      </c>
      <c r="N102" s="69" t="s">
        <v>151</v>
      </c>
      <c r="O102" s="69">
        <f t="shared" si="3"/>
        <v>2.4960000000000004</v>
      </c>
      <c r="P102" s="69">
        <v>81</v>
      </c>
      <c r="Q102" s="69">
        <f t="shared" si="2"/>
        <v>110.93333333333337</v>
      </c>
    </row>
    <row r="103" spans="5:17" x14ac:dyDescent="0.25">
      <c r="E103" s="69">
        <v>97</v>
      </c>
      <c r="F103" s="69" t="s">
        <v>146</v>
      </c>
      <c r="G103" s="69" t="s">
        <v>147</v>
      </c>
      <c r="H103" s="69" t="s">
        <v>148</v>
      </c>
      <c r="I103" s="69" t="s">
        <v>149</v>
      </c>
      <c r="J103" s="69" t="s">
        <v>150</v>
      </c>
      <c r="K103" s="69">
        <v>1.3</v>
      </c>
      <c r="L103" s="69">
        <v>0.6</v>
      </c>
      <c r="M103" s="69">
        <v>3.2</v>
      </c>
      <c r="N103" s="69" t="s">
        <v>151</v>
      </c>
      <c r="O103" s="69">
        <f t="shared" si="3"/>
        <v>2.4960000000000004</v>
      </c>
      <c r="P103" s="69">
        <v>87</v>
      </c>
      <c r="Q103" s="69">
        <f t="shared" si="2"/>
        <v>103.28275862068968</v>
      </c>
    </row>
    <row r="104" spans="5:17" x14ac:dyDescent="0.25">
      <c r="E104" s="69">
        <v>98</v>
      </c>
      <c r="F104" s="69" t="s">
        <v>146</v>
      </c>
      <c r="G104" s="69" t="s">
        <v>147</v>
      </c>
      <c r="H104" s="69" t="s">
        <v>148</v>
      </c>
      <c r="I104" s="69" t="s">
        <v>149</v>
      </c>
      <c r="J104" s="69" t="s">
        <v>150</v>
      </c>
      <c r="K104" s="69">
        <v>1.3</v>
      </c>
      <c r="L104" s="69">
        <v>0.6</v>
      </c>
      <c r="M104" s="69">
        <v>3.2</v>
      </c>
      <c r="N104" s="69" t="s">
        <v>151</v>
      </c>
      <c r="O104" s="69">
        <f t="shared" si="3"/>
        <v>2.4960000000000004</v>
      </c>
      <c r="P104" s="69">
        <v>95</v>
      </c>
      <c r="Q104" s="69">
        <f t="shared" si="2"/>
        <v>94.585263157894758</v>
      </c>
    </row>
    <row r="105" spans="5:17" x14ac:dyDescent="0.25">
      <c r="E105" s="69">
        <v>99</v>
      </c>
      <c r="F105" s="69" t="s">
        <v>146</v>
      </c>
      <c r="G105" s="69" t="s">
        <v>147</v>
      </c>
      <c r="H105" s="69" t="s">
        <v>148</v>
      </c>
      <c r="I105" s="69" t="s">
        <v>149</v>
      </c>
      <c r="J105" s="69" t="s">
        <v>150</v>
      </c>
      <c r="K105" s="69">
        <v>1.3</v>
      </c>
      <c r="L105" s="69">
        <v>0.6</v>
      </c>
      <c r="M105" s="69">
        <v>3.2</v>
      </c>
      <c r="N105" s="69" t="s">
        <v>151</v>
      </c>
      <c r="O105" s="69">
        <f t="shared" si="3"/>
        <v>2.4960000000000004</v>
      </c>
      <c r="P105" s="69">
        <v>113</v>
      </c>
      <c r="Q105" s="69">
        <f t="shared" si="2"/>
        <v>79.518584070796479</v>
      </c>
    </row>
    <row r="106" spans="5:17" x14ac:dyDescent="0.25">
      <c r="E106" s="69">
        <v>100</v>
      </c>
      <c r="F106" s="69" t="s">
        <v>146</v>
      </c>
      <c r="G106" s="69" t="s">
        <v>147</v>
      </c>
      <c r="H106" s="69" t="s">
        <v>148</v>
      </c>
      <c r="I106" s="69" t="s">
        <v>149</v>
      </c>
      <c r="J106" s="69" t="s">
        <v>150</v>
      </c>
      <c r="K106" s="69">
        <v>1.3</v>
      </c>
      <c r="L106" s="69">
        <v>0.6</v>
      </c>
      <c r="M106" s="69">
        <v>3.2</v>
      </c>
      <c r="N106" s="69" t="s">
        <v>151</v>
      </c>
      <c r="O106" s="69">
        <f t="shared" si="3"/>
        <v>2.4960000000000004</v>
      </c>
      <c r="P106" s="69">
        <v>56</v>
      </c>
      <c r="Q106" s="69">
        <f t="shared" si="2"/>
        <v>160.45714285714288</v>
      </c>
    </row>
    <row r="107" spans="5:17" x14ac:dyDescent="0.25">
      <c r="E107" s="69">
        <v>101</v>
      </c>
      <c r="F107" s="69" t="s">
        <v>146</v>
      </c>
      <c r="G107" s="69" t="s">
        <v>147</v>
      </c>
      <c r="H107" s="69" t="s">
        <v>148</v>
      </c>
      <c r="I107" s="69" t="s">
        <v>149</v>
      </c>
      <c r="J107" s="69" t="s">
        <v>150</v>
      </c>
      <c r="K107" s="69">
        <v>1.3</v>
      </c>
      <c r="L107" s="69">
        <v>0.6</v>
      </c>
      <c r="M107" s="69">
        <v>3.2</v>
      </c>
      <c r="N107" s="69" t="s">
        <v>151</v>
      </c>
      <c r="O107" s="69">
        <f t="shared" si="3"/>
        <v>2.4960000000000004</v>
      </c>
      <c r="P107" s="69">
        <v>124</v>
      </c>
      <c r="Q107" s="69">
        <f t="shared" si="2"/>
        <v>72.464516129032276</v>
      </c>
    </row>
    <row r="108" spans="5:17" x14ac:dyDescent="0.25">
      <c r="E108" s="69">
        <v>102</v>
      </c>
      <c r="F108" s="69" t="s">
        <v>146</v>
      </c>
      <c r="G108" s="69" t="s">
        <v>147</v>
      </c>
      <c r="H108" s="69" t="s">
        <v>148</v>
      </c>
      <c r="I108" s="69" t="s">
        <v>149</v>
      </c>
      <c r="J108" s="69" t="s">
        <v>150</v>
      </c>
      <c r="K108" s="69">
        <v>1.3</v>
      </c>
      <c r="L108" s="69">
        <v>0.6</v>
      </c>
      <c r="M108" s="69">
        <v>3.2</v>
      </c>
      <c r="N108" s="69" t="s">
        <v>151</v>
      </c>
      <c r="O108" s="69">
        <f t="shared" si="3"/>
        <v>2.4960000000000004</v>
      </c>
      <c r="P108" s="69">
        <v>82</v>
      </c>
      <c r="Q108" s="69">
        <f t="shared" si="2"/>
        <v>109.58048780487808</v>
      </c>
    </row>
    <row r="109" spans="5:17" x14ac:dyDescent="0.25">
      <c r="E109" s="69">
        <v>103</v>
      </c>
      <c r="F109" s="69" t="s">
        <v>146</v>
      </c>
      <c r="G109" s="69" t="s">
        <v>147</v>
      </c>
      <c r="H109" s="69" t="s">
        <v>148</v>
      </c>
      <c r="I109" s="69" t="s">
        <v>149</v>
      </c>
      <c r="J109" s="69" t="s">
        <v>150</v>
      </c>
      <c r="K109" s="69">
        <v>1.3</v>
      </c>
      <c r="L109" s="69">
        <v>0.6</v>
      </c>
      <c r="M109" s="69">
        <v>3.2</v>
      </c>
      <c r="N109" s="69" t="s">
        <v>151</v>
      </c>
      <c r="O109" s="69">
        <f t="shared" si="3"/>
        <v>2.4960000000000004</v>
      </c>
      <c r="P109" s="69">
        <v>77</v>
      </c>
      <c r="Q109" s="69">
        <f t="shared" si="2"/>
        <v>116.69610389610392</v>
      </c>
    </row>
    <row r="110" spans="5:17" x14ac:dyDescent="0.25">
      <c r="E110" s="69">
        <v>104</v>
      </c>
      <c r="F110" s="69" t="s">
        <v>146</v>
      </c>
      <c r="G110" s="69" t="s">
        <v>147</v>
      </c>
      <c r="H110" s="69" t="s">
        <v>148</v>
      </c>
      <c r="I110" s="69" t="s">
        <v>149</v>
      </c>
      <c r="J110" s="69" t="s">
        <v>150</v>
      </c>
      <c r="K110" s="69">
        <v>1.3</v>
      </c>
      <c r="L110" s="69">
        <v>0.6</v>
      </c>
      <c r="M110" s="69">
        <v>3.2</v>
      </c>
      <c r="N110" s="69" t="s">
        <v>151</v>
      </c>
      <c r="O110" s="69">
        <f t="shared" si="3"/>
        <v>2.4960000000000004</v>
      </c>
      <c r="P110" s="69">
        <v>94</v>
      </c>
      <c r="Q110" s="69">
        <f t="shared" si="2"/>
        <v>95.591489361702145</v>
      </c>
    </row>
    <row r="111" spans="5:17" x14ac:dyDescent="0.25">
      <c r="E111" s="69">
        <v>105</v>
      </c>
      <c r="F111" s="69" t="s">
        <v>146</v>
      </c>
      <c r="G111" s="69" t="s">
        <v>147</v>
      </c>
      <c r="H111" s="69" t="s">
        <v>148</v>
      </c>
      <c r="I111" s="69" t="s">
        <v>149</v>
      </c>
      <c r="J111" s="69" t="s">
        <v>150</v>
      </c>
      <c r="K111" s="69">
        <v>1.3</v>
      </c>
      <c r="L111" s="69">
        <v>0.6</v>
      </c>
      <c r="M111" s="69">
        <v>3.2</v>
      </c>
      <c r="N111" s="69" t="s">
        <v>151</v>
      </c>
      <c r="O111" s="69">
        <f t="shared" si="3"/>
        <v>2.4960000000000004</v>
      </c>
      <c r="P111" s="69">
        <v>105</v>
      </c>
      <c r="Q111" s="69">
        <f t="shared" si="2"/>
        <v>85.577142857142874</v>
      </c>
    </row>
    <row r="112" spans="5:17" x14ac:dyDescent="0.25">
      <c r="E112" s="69">
        <v>106</v>
      </c>
      <c r="F112" s="69" t="s">
        <v>146</v>
      </c>
      <c r="G112" s="69" t="s">
        <v>147</v>
      </c>
      <c r="H112" s="69" t="s">
        <v>148</v>
      </c>
      <c r="I112" s="69" t="s">
        <v>149</v>
      </c>
      <c r="J112" s="69" t="s">
        <v>150</v>
      </c>
      <c r="K112" s="69">
        <v>1.3</v>
      </c>
      <c r="L112" s="69">
        <v>0.6</v>
      </c>
      <c r="M112" s="69">
        <v>3.2</v>
      </c>
      <c r="N112" s="69" t="s">
        <v>151</v>
      </c>
      <c r="O112" s="69">
        <f t="shared" si="3"/>
        <v>2.4960000000000004</v>
      </c>
      <c r="P112" s="69">
        <v>87</v>
      </c>
      <c r="Q112" s="69">
        <f t="shared" si="2"/>
        <v>103.28275862068968</v>
      </c>
    </row>
    <row r="113" spans="5:20" x14ac:dyDescent="0.25">
      <c r="E113" s="69">
        <v>107</v>
      </c>
      <c r="F113" s="69" t="s">
        <v>146</v>
      </c>
      <c r="G113" s="69" t="s">
        <v>147</v>
      </c>
      <c r="H113" s="69" t="s">
        <v>148</v>
      </c>
      <c r="I113" s="69" t="s">
        <v>149</v>
      </c>
      <c r="J113" s="69" t="s">
        <v>150</v>
      </c>
      <c r="K113" s="69">
        <v>1.3</v>
      </c>
      <c r="L113" s="69">
        <v>0.6</v>
      </c>
      <c r="M113" s="69">
        <v>3.2</v>
      </c>
      <c r="N113" s="69" t="s">
        <v>151</v>
      </c>
      <c r="O113" s="69">
        <f t="shared" si="3"/>
        <v>2.4960000000000004</v>
      </c>
      <c r="P113" s="69">
        <v>648</v>
      </c>
      <c r="Q113" s="69">
        <f t="shared" si="2"/>
        <v>13.866666666666671</v>
      </c>
      <c r="T113" s="1">
        <v>573</v>
      </c>
    </row>
    <row r="114" spans="5:20" x14ac:dyDescent="0.25">
      <c r="E114" s="69">
        <v>108</v>
      </c>
      <c r="F114" s="69" t="s">
        <v>146</v>
      </c>
      <c r="G114" s="69" t="s">
        <v>147</v>
      </c>
      <c r="H114" s="69" t="s">
        <v>148</v>
      </c>
      <c r="I114" s="69" t="s">
        <v>149</v>
      </c>
      <c r="J114" s="69" t="s">
        <v>150</v>
      </c>
      <c r="K114" s="69">
        <v>1.3</v>
      </c>
      <c r="L114" s="69">
        <v>0.6</v>
      </c>
      <c r="M114" s="69">
        <v>3.2</v>
      </c>
      <c r="N114" s="69" t="s">
        <v>151</v>
      </c>
      <c r="O114" s="69">
        <f t="shared" si="3"/>
        <v>2.4960000000000004</v>
      </c>
      <c r="P114" s="69">
        <v>111</v>
      </c>
      <c r="Q114" s="69">
        <f t="shared" si="2"/>
        <v>80.951351351351377</v>
      </c>
    </row>
    <row r="115" spans="5:20" x14ac:dyDescent="0.25">
      <c r="E115" s="69">
        <v>109</v>
      </c>
      <c r="F115" s="69" t="s">
        <v>146</v>
      </c>
      <c r="G115" s="69" t="s">
        <v>147</v>
      </c>
      <c r="H115" s="69" t="s">
        <v>148</v>
      </c>
      <c r="I115" s="69" t="s">
        <v>149</v>
      </c>
      <c r="J115" s="69" t="s">
        <v>150</v>
      </c>
      <c r="K115" s="69">
        <v>1.3</v>
      </c>
      <c r="L115" s="69">
        <v>0.6</v>
      </c>
      <c r="M115" s="69">
        <v>3.2</v>
      </c>
      <c r="N115" s="69" t="s">
        <v>151</v>
      </c>
      <c r="O115" s="69">
        <f t="shared" si="3"/>
        <v>2.4960000000000004</v>
      </c>
      <c r="P115" s="69">
        <v>107</v>
      </c>
      <c r="Q115" s="69">
        <f t="shared" si="2"/>
        <v>83.97757009345797</v>
      </c>
    </row>
    <row r="116" spans="5:20" x14ac:dyDescent="0.25">
      <c r="E116" s="69">
        <v>110</v>
      </c>
      <c r="F116" s="69" t="s">
        <v>146</v>
      </c>
      <c r="G116" s="69" t="s">
        <v>147</v>
      </c>
      <c r="H116" s="69" t="s">
        <v>148</v>
      </c>
      <c r="I116" s="69" t="s">
        <v>149</v>
      </c>
      <c r="J116" s="69" t="s">
        <v>150</v>
      </c>
      <c r="K116" s="69">
        <v>1.3</v>
      </c>
      <c r="L116" s="69">
        <v>0.6</v>
      </c>
      <c r="M116" s="69">
        <v>3.2</v>
      </c>
      <c r="N116" s="69" t="s">
        <v>151</v>
      </c>
      <c r="O116" s="69">
        <f t="shared" si="3"/>
        <v>2.4960000000000004</v>
      </c>
      <c r="P116" s="69">
        <v>102</v>
      </c>
      <c r="Q116" s="69">
        <f t="shared" si="2"/>
        <v>88.094117647058852</v>
      </c>
    </row>
    <row r="117" spans="5:20" x14ac:dyDescent="0.25">
      <c r="E117" s="69">
        <v>111</v>
      </c>
      <c r="F117" s="69" t="s">
        <v>146</v>
      </c>
      <c r="G117" s="69" t="s">
        <v>147</v>
      </c>
      <c r="H117" s="69" t="s">
        <v>148</v>
      </c>
      <c r="I117" s="69" t="s">
        <v>149</v>
      </c>
      <c r="J117" s="69" t="s">
        <v>150</v>
      </c>
      <c r="K117" s="69">
        <v>1.3</v>
      </c>
      <c r="L117" s="69">
        <v>0.6</v>
      </c>
      <c r="M117" s="69">
        <v>3.2</v>
      </c>
      <c r="N117" s="69" t="s">
        <v>151</v>
      </c>
      <c r="O117" s="69">
        <f t="shared" si="3"/>
        <v>2.4960000000000004</v>
      </c>
      <c r="P117" s="69">
        <v>99</v>
      </c>
      <c r="Q117" s="69">
        <f t="shared" si="2"/>
        <v>90.76363636363638</v>
      </c>
    </row>
    <row r="118" spans="5:20" x14ac:dyDescent="0.25">
      <c r="E118" s="69">
        <v>112</v>
      </c>
      <c r="F118" s="69" t="s">
        <v>146</v>
      </c>
      <c r="G118" s="69" t="s">
        <v>147</v>
      </c>
      <c r="H118" s="69" t="s">
        <v>148</v>
      </c>
      <c r="I118" s="69" t="s">
        <v>149</v>
      </c>
      <c r="J118" s="69" t="s">
        <v>150</v>
      </c>
      <c r="K118" s="69">
        <v>1.3</v>
      </c>
      <c r="L118" s="69">
        <v>0.6</v>
      </c>
      <c r="M118" s="69">
        <v>3.2</v>
      </c>
      <c r="N118" s="69" t="s">
        <v>151</v>
      </c>
      <c r="O118" s="69">
        <f t="shared" si="3"/>
        <v>2.4960000000000004</v>
      </c>
      <c r="P118" s="69">
        <v>84</v>
      </c>
      <c r="Q118" s="69">
        <f t="shared" si="2"/>
        <v>106.9714285714286</v>
      </c>
    </row>
    <row r="119" spans="5:20" x14ac:dyDescent="0.25">
      <c r="E119" s="69">
        <v>113</v>
      </c>
      <c r="F119" s="69" t="s">
        <v>146</v>
      </c>
      <c r="G119" s="69" t="s">
        <v>147</v>
      </c>
      <c r="H119" s="69" t="s">
        <v>148</v>
      </c>
      <c r="I119" s="69" t="s">
        <v>149</v>
      </c>
      <c r="J119" s="69" t="s">
        <v>150</v>
      </c>
      <c r="K119" s="69">
        <v>1.3</v>
      </c>
      <c r="L119" s="69">
        <v>0.6</v>
      </c>
      <c r="M119" s="69">
        <v>3.2</v>
      </c>
      <c r="N119" s="69" t="s">
        <v>151</v>
      </c>
      <c r="O119" s="69">
        <f t="shared" si="3"/>
        <v>2.4960000000000004</v>
      </c>
      <c r="P119" s="69">
        <v>121</v>
      </c>
      <c r="Q119" s="69">
        <f t="shared" si="2"/>
        <v>74.261157024793405</v>
      </c>
    </row>
    <row r="120" spans="5:20" x14ac:dyDescent="0.25">
      <c r="E120" s="69">
        <v>114</v>
      </c>
      <c r="F120" s="69" t="s">
        <v>146</v>
      </c>
      <c r="G120" s="69" t="s">
        <v>147</v>
      </c>
      <c r="H120" s="69" t="s">
        <v>148</v>
      </c>
      <c r="I120" s="69" t="s">
        <v>149</v>
      </c>
      <c r="J120" s="69" t="s">
        <v>150</v>
      </c>
      <c r="K120" s="69">
        <v>1.3</v>
      </c>
      <c r="L120" s="69">
        <v>0.6</v>
      </c>
      <c r="M120" s="69">
        <v>3.2</v>
      </c>
      <c r="N120" s="69" t="s">
        <v>151</v>
      </c>
      <c r="O120" s="69">
        <f t="shared" si="3"/>
        <v>2.4960000000000004</v>
      </c>
      <c r="P120" s="69">
        <v>76</v>
      </c>
      <c r="Q120" s="69">
        <f t="shared" si="2"/>
        <v>118.23157894736845</v>
      </c>
    </row>
    <row r="121" spans="5:20" x14ac:dyDescent="0.25">
      <c r="E121" s="69">
        <v>115</v>
      </c>
      <c r="F121" s="69" t="s">
        <v>146</v>
      </c>
      <c r="G121" s="69" t="s">
        <v>147</v>
      </c>
      <c r="H121" s="69" t="s">
        <v>148</v>
      </c>
      <c r="I121" s="69" t="s">
        <v>149</v>
      </c>
      <c r="J121" s="69" t="s">
        <v>150</v>
      </c>
      <c r="K121" s="69">
        <v>1.3</v>
      </c>
      <c r="L121" s="69">
        <v>0.6</v>
      </c>
      <c r="M121" s="69">
        <v>3.2</v>
      </c>
      <c r="N121" s="69" t="s">
        <v>151</v>
      </c>
      <c r="O121" s="69">
        <f t="shared" si="3"/>
        <v>2.4960000000000004</v>
      </c>
      <c r="P121" s="69">
        <v>81</v>
      </c>
      <c r="Q121" s="69">
        <f t="shared" si="2"/>
        <v>110.93333333333337</v>
      </c>
    </row>
    <row r="122" spans="5:20" x14ac:dyDescent="0.25">
      <c r="E122" s="69">
        <v>116</v>
      </c>
      <c r="F122" s="69" t="s">
        <v>146</v>
      </c>
      <c r="G122" s="69" t="s">
        <v>147</v>
      </c>
      <c r="H122" s="69" t="s">
        <v>148</v>
      </c>
      <c r="I122" s="69" t="s">
        <v>149</v>
      </c>
      <c r="J122" s="69" t="s">
        <v>150</v>
      </c>
      <c r="K122" s="69">
        <v>1.3</v>
      </c>
      <c r="L122" s="69">
        <v>0.6</v>
      </c>
      <c r="M122" s="69">
        <v>3.2</v>
      </c>
      <c r="N122" s="69" t="s">
        <v>151</v>
      </c>
      <c r="O122" s="69">
        <f t="shared" si="3"/>
        <v>2.4960000000000004</v>
      </c>
      <c r="P122" s="69">
        <v>108</v>
      </c>
      <c r="Q122" s="69">
        <f t="shared" si="2"/>
        <v>83.200000000000017</v>
      </c>
    </row>
    <row r="123" spans="5:20" x14ac:dyDescent="0.25">
      <c r="E123" s="69">
        <v>117</v>
      </c>
      <c r="F123" s="69" t="s">
        <v>146</v>
      </c>
      <c r="G123" s="69" t="s">
        <v>147</v>
      </c>
      <c r="H123" s="69" t="s">
        <v>148</v>
      </c>
      <c r="I123" s="69" t="s">
        <v>149</v>
      </c>
      <c r="J123" s="69" t="s">
        <v>150</v>
      </c>
      <c r="K123" s="69">
        <v>1.3</v>
      </c>
      <c r="L123" s="69">
        <v>0.6</v>
      </c>
      <c r="M123" s="69">
        <v>3.2</v>
      </c>
      <c r="N123" s="69" t="s">
        <v>151</v>
      </c>
      <c r="O123" s="69">
        <f t="shared" si="3"/>
        <v>2.4960000000000004</v>
      </c>
      <c r="P123" s="69">
        <v>75</v>
      </c>
      <c r="Q123" s="69">
        <f t="shared" si="2"/>
        <v>119.80800000000004</v>
      </c>
    </row>
    <row r="124" spans="5:20" x14ac:dyDescent="0.25">
      <c r="E124" s="69">
        <v>118</v>
      </c>
      <c r="F124" s="69" t="s">
        <v>146</v>
      </c>
      <c r="G124" s="69" t="s">
        <v>147</v>
      </c>
      <c r="H124" s="69" t="s">
        <v>148</v>
      </c>
      <c r="I124" s="69" t="s">
        <v>149</v>
      </c>
      <c r="J124" s="69" t="s">
        <v>150</v>
      </c>
      <c r="K124" s="69">
        <v>1.3</v>
      </c>
      <c r="L124" s="69">
        <v>0.6</v>
      </c>
      <c r="M124" s="69">
        <v>3.2</v>
      </c>
      <c r="N124" s="69" t="s">
        <v>151</v>
      </c>
      <c r="O124" s="69">
        <f t="shared" si="3"/>
        <v>2.4960000000000004</v>
      </c>
      <c r="P124" s="69">
        <v>72</v>
      </c>
      <c r="Q124" s="69">
        <f t="shared" si="2"/>
        <v>124.80000000000003</v>
      </c>
    </row>
    <row r="125" spans="5:20" x14ac:dyDescent="0.25">
      <c r="E125" s="69">
        <v>119</v>
      </c>
      <c r="F125" s="69" t="s">
        <v>146</v>
      </c>
      <c r="G125" s="69" t="s">
        <v>147</v>
      </c>
      <c r="H125" s="69" t="s">
        <v>148</v>
      </c>
      <c r="I125" s="69" t="s">
        <v>149</v>
      </c>
      <c r="J125" s="69" t="s">
        <v>150</v>
      </c>
      <c r="K125" s="69">
        <v>1.3</v>
      </c>
      <c r="L125" s="69">
        <v>0.6</v>
      </c>
      <c r="M125" s="69">
        <v>3.2</v>
      </c>
      <c r="N125" s="69" t="s">
        <v>151</v>
      </c>
      <c r="O125" s="69">
        <f t="shared" si="3"/>
        <v>2.4960000000000004</v>
      </c>
      <c r="P125" s="69">
        <v>87</v>
      </c>
      <c r="Q125" s="69">
        <f t="shared" si="2"/>
        <v>103.28275862068968</v>
      </c>
    </row>
    <row r="126" spans="5:20" x14ac:dyDescent="0.25">
      <c r="E126" s="69">
        <v>120</v>
      </c>
      <c r="F126" s="69" t="s">
        <v>146</v>
      </c>
      <c r="G126" s="69" t="s">
        <v>147</v>
      </c>
      <c r="H126" s="69" t="s">
        <v>148</v>
      </c>
      <c r="I126" s="69" t="s">
        <v>149</v>
      </c>
      <c r="J126" s="69" t="s">
        <v>150</v>
      </c>
      <c r="K126" s="69">
        <v>1.3</v>
      </c>
      <c r="L126" s="69">
        <v>0.6</v>
      </c>
      <c r="M126" s="69">
        <v>3.2</v>
      </c>
      <c r="N126" s="69" t="s">
        <v>151</v>
      </c>
      <c r="O126" s="69">
        <f t="shared" si="3"/>
        <v>2.4960000000000004</v>
      </c>
      <c r="P126" s="69">
        <v>114</v>
      </c>
      <c r="Q126" s="69">
        <f t="shared" si="2"/>
        <v>78.821052631578965</v>
      </c>
    </row>
    <row r="127" spans="5:20" x14ac:dyDescent="0.25">
      <c r="E127" s="69">
        <v>121</v>
      </c>
      <c r="F127" s="69" t="s">
        <v>146</v>
      </c>
      <c r="G127" s="69" t="s">
        <v>147</v>
      </c>
      <c r="H127" s="69" t="s">
        <v>148</v>
      </c>
      <c r="I127" s="69" t="s">
        <v>149</v>
      </c>
      <c r="J127" s="69" t="s">
        <v>150</v>
      </c>
      <c r="K127" s="69">
        <v>1.3</v>
      </c>
      <c r="L127" s="69">
        <v>0.6</v>
      </c>
      <c r="M127" s="69">
        <v>3.2</v>
      </c>
      <c r="N127" s="69" t="s">
        <v>151</v>
      </c>
      <c r="O127" s="69">
        <f t="shared" si="3"/>
        <v>2.4960000000000004</v>
      </c>
      <c r="P127" s="69">
        <v>91</v>
      </c>
      <c r="Q127" s="69">
        <f t="shared" si="2"/>
        <v>98.742857142857162</v>
      </c>
    </row>
    <row r="128" spans="5:20" x14ac:dyDescent="0.25">
      <c r="E128" s="69">
        <v>122</v>
      </c>
      <c r="F128" s="69" t="s">
        <v>146</v>
      </c>
      <c r="G128" s="69" t="s">
        <v>147</v>
      </c>
      <c r="H128" s="69" t="s">
        <v>148</v>
      </c>
      <c r="I128" s="69" t="s">
        <v>149</v>
      </c>
      <c r="J128" s="69" t="s">
        <v>150</v>
      </c>
      <c r="K128" s="69">
        <v>1.3</v>
      </c>
      <c r="L128" s="69">
        <v>0.6</v>
      </c>
      <c r="M128" s="69">
        <v>3.2</v>
      </c>
      <c r="N128" s="69" t="s">
        <v>151</v>
      </c>
      <c r="O128" s="69">
        <f t="shared" si="3"/>
        <v>2.4960000000000004</v>
      </c>
      <c r="P128" s="69">
        <v>81</v>
      </c>
      <c r="Q128" s="69">
        <f t="shared" si="2"/>
        <v>110.93333333333337</v>
      </c>
    </row>
    <row r="129" spans="5:17" x14ac:dyDescent="0.25">
      <c r="E129" s="69">
        <v>123</v>
      </c>
      <c r="F129" s="69" t="s">
        <v>146</v>
      </c>
      <c r="G129" s="69" t="s">
        <v>147</v>
      </c>
      <c r="H129" s="69" t="s">
        <v>148</v>
      </c>
      <c r="I129" s="69" t="s">
        <v>149</v>
      </c>
      <c r="J129" s="69" t="s">
        <v>150</v>
      </c>
      <c r="K129" s="69">
        <v>1.3</v>
      </c>
      <c r="L129" s="69">
        <v>0.6</v>
      </c>
      <c r="M129" s="69">
        <v>3.2</v>
      </c>
      <c r="N129" s="69" t="s">
        <v>151</v>
      </c>
      <c r="O129" s="69">
        <f t="shared" si="3"/>
        <v>2.4960000000000004</v>
      </c>
      <c r="P129" s="69">
        <v>87</v>
      </c>
      <c r="Q129" s="69">
        <f t="shared" si="2"/>
        <v>103.28275862068968</v>
      </c>
    </row>
    <row r="130" spans="5:17" x14ac:dyDescent="0.25">
      <c r="E130" s="69">
        <v>124</v>
      </c>
      <c r="F130" s="69" t="s">
        <v>146</v>
      </c>
      <c r="G130" s="69" t="s">
        <v>147</v>
      </c>
      <c r="H130" s="69" t="s">
        <v>148</v>
      </c>
      <c r="I130" s="69" t="s">
        <v>149</v>
      </c>
      <c r="J130" s="69" t="s">
        <v>150</v>
      </c>
      <c r="K130" s="69">
        <v>1.3</v>
      </c>
      <c r="L130" s="69">
        <v>0.6</v>
      </c>
      <c r="M130" s="69">
        <v>3.2</v>
      </c>
      <c r="N130" s="69" t="s">
        <v>151</v>
      </c>
      <c r="O130" s="69">
        <f t="shared" si="3"/>
        <v>2.4960000000000004</v>
      </c>
      <c r="P130" s="69">
        <v>124</v>
      </c>
      <c r="Q130" s="69">
        <f t="shared" si="2"/>
        <v>72.464516129032276</v>
      </c>
    </row>
    <row r="131" spans="5:17" x14ac:dyDescent="0.25">
      <c r="E131" s="69">
        <v>125</v>
      </c>
      <c r="F131" s="69" t="s">
        <v>146</v>
      </c>
      <c r="G131" s="69" t="s">
        <v>147</v>
      </c>
      <c r="H131" s="69" t="s">
        <v>148</v>
      </c>
      <c r="I131" s="69" t="s">
        <v>149</v>
      </c>
      <c r="J131" s="69" t="s">
        <v>150</v>
      </c>
      <c r="K131" s="69">
        <v>1.3</v>
      </c>
      <c r="L131" s="69">
        <v>0.6</v>
      </c>
      <c r="M131" s="69">
        <v>3.2</v>
      </c>
      <c r="N131" s="69" t="s">
        <v>151</v>
      </c>
      <c r="O131" s="69">
        <f t="shared" si="3"/>
        <v>2.4960000000000004</v>
      </c>
      <c r="P131" s="69">
        <v>127</v>
      </c>
      <c r="Q131" s="69">
        <f t="shared" si="2"/>
        <v>70.752755905511833</v>
      </c>
    </row>
    <row r="132" spans="5:17" x14ac:dyDescent="0.25">
      <c r="E132" s="69">
        <v>126</v>
      </c>
      <c r="F132" s="69" t="s">
        <v>146</v>
      </c>
      <c r="G132" s="69" t="s">
        <v>147</v>
      </c>
      <c r="H132" s="69" t="s">
        <v>148</v>
      </c>
      <c r="I132" s="69" t="s">
        <v>149</v>
      </c>
      <c r="J132" s="69" t="s">
        <v>150</v>
      </c>
      <c r="K132" s="69">
        <v>1.3</v>
      </c>
      <c r="L132" s="69">
        <v>0.6</v>
      </c>
      <c r="M132" s="69">
        <v>3.2</v>
      </c>
      <c r="N132" s="69" t="s">
        <v>151</v>
      </c>
      <c r="O132" s="69">
        <f t="shared" si="3"/>
        <v>2.4960000000000004</v>
      </c>
      <c r="P132" s="69">
        <v>95</v>
      </c>
      <c r="Q132" s="69">
        <f t="shared" si="2"/>
        <v>94.585263157894758</v>
      </c>
    </row>
    <row r="133" spans="5:17" x14ac:dyDescent="0.25">
      <c r="E133" s="69">
        <v>127</v>
      </c>
      <c r="F133" s="69" t="s">
        <v>146</v>
      </c>
      <c r="G133" s="69" t="s">
        <v>147</v>
      </c>
      <c r="H133" s="69" t="s">
        <v>148</v>
      </c>
      <c r="I133" s="69" t="s">
        <v>149</v>
      </c>
      <c r="J133" s="69" t="s">
        <v>150</v>
      </c>
      <c r="K133" s="69">
        <v>1.3</v>
      </c>
      <c r="L133" s="69">
        <v>0.6</v>
      </c>
      <c r="M133" s="69">
        <v>3.2</v>
      </c>
      <c r="N133" s="69" t="s">
        <v>151</v>
      </c>
      <c r="O133" s="69">
        <f t="shared" si="3"/>
        <v>2.4960000000000004</v>
      </c>
      <c r="P133" s="69">
        <v>93</v>
      </c>
      <c r="Q133" s="69">
        <f t="shared" si="2"/>
        <v>96.619354838709697</v>
      </c>
    </row>
    <row r="134" spans="5:17" x14ac:dyDescent="0.25">
      <c r="E134" s="69">
        <v>128</v>
      </c>
      <c r="F134" s="69" t="s">
        <v>146</v>
      </c>
      <c r="G134" s="69" t="s">
        <v>147</v>
      </c>
      <c r="H134" s="69" t="s">
        <v>148</v>
      </c>
      <c r="I134" s="69" t="s">
        <v>149</v>
      </c>
      <c r="J134" s="69" t="s">
        <v>150</v>
      </c>
      <c r="K134" s="69">
        <v>1.3</v>
      </c>
      <c r="L134" s="69">
        <v>0.6</v>
      </c>
      <c r="M134" s="69">
        <v>3.2</v>
      </c>
      <c r="N134" s="69" t="s">
        <v>151</v>
      </c>
      <c r="O134" s="69">
        <f t="shared" si="3"/>
        <v>2.4960000000000004</v>
      </c>
      <c r="P134" s="69">
        <v>108</v>
      </c>
      <c r="Q134" s="69">
        <f t="shared" si="2"/>
        <v>83.200000000000017</v>
      </c>
    </row>
    <row r="135" spans="5:17" x14ac:dyDescent="0.25">
      <c r="E135" s="69">
        <v>129</v>
      </c>
      <c r="F135" s="69" t="s">
        <v>146</v>
      </c>
      <c r="G135" s="69" t="s">
        <v>147</v>
      </c>
      <c r="H135" s="69" t="s">
        <v>148</v>
      </c>
      <c r="I135" s="69" t="s">
        <v>149</v>
      </c>
      <c r="J135" s="69" t="s">
        <v>150</v>
      </c>
      <c r="K135" s="69">
        <v>1.3</v>
      </c>
      <c r="L135" s="69">
        <v>0.6</v>
      </c>
      <c r="M135" s="69">
        <v>3.2</v>
      </c>
      <c r="N135" s="69" t="s">
        <v>151</v>
      </c>
      <c r="O135" s="69">
        <f t="shared" si="3"/>
        <v>2.4960000000000004</v>
      </c>
      <c r="P135" s="69">
        <v>76</v>
      </c>
      <c r="Q135" s="69">
        <f t="shared" ref="Q135:Q198" si="4">O135*3600/P135</f>
        <v>118.23157894736845</v>
      </c>
    </row>
    <row r="136" spans="5:17" x14ac:dyDescent="0.25">
      <c r="E136" s="69">
        <v>130</v>
      </c>
      <c r="F136" s="69" t="s">
        <v>146</v>
      </c>
      <c r="G136" s="69" t="s">
        <v>147</v>
      </c>
      <c r="H136" s="69" t="s">
        <v>148</v>
      </c>
      <c r="I136" s="69" t="s">
        <v>149</v>
      </c>
      <c r="J136" s="69" t="s">
        <v>150</v>
      </c>
      <c r="K136" s="69">
        <v>1.3</v>
      </c>
      <c r="L136" s="69">
        <v>0.6</v>
      </c>
      <c r="M136" s="69">
        <v>3.2</v>
      </c>
      <c r="N136" s="69" t="s">
        <v>151</v>
      </c>
      <c r="O136" s="69">
        <f t="shared" ref="O136:O199" si="5">K136*L136*M136</f>
        <v>2.4960000000000004</v>
      </c>
      <c r="P136" s="69">
        <v>124</v>
      </c>
      <c r="Q136" s="69">
        <f t="shared" si="4"/>
        <v>72.464516129032276</v>
      </c>
    </row>
    <row r="137" spans="5:17" x14ac:dyDescent="0.25">
      <c r="E137" s="69">
        <v>131</v>
      </c>
      <c r="F137" s="69" t="s">
        <v>146</v>
      </c>
      <c r="G137" s="69" t="s">
        <v>147</v>
      </c>
      <c r="H137" s="69" t="s">
        <v>148</v>
      </c>
      <c r="I137" s="69" t="s">
        <v>149</v>
      </c>
      <c r="J137" s="69" t="s">
        <v>150</v>
      </c>
      <c r="K137" s="69">
        <v>1.3</v>
      </c>
      <c r="L137" s="69">
        <v>0.6</v>
      </c>
      <c r="M137" s="69">
        <v>3.2</v>
      </c>
      <c r="N137" s="69" t="s">
        <v>151</v>
      </c>
      <c r="O137" s="69">
        <f t="shared" si="5"/>
        <v>2.4960000000000004</v>
      </c>
      <c r="P137" s="69">
        <v>115</v>
      </c>
      <c r="Q137" s="69">
        <f t="shared" si="4"/>
        <v>78.135652173913059</v>
      </c>
    </row>
    <row r="138" spans="5:17" x14ac:dyDescent="0.25">
      <c r="E138" s="69">
        <v>132</v>
      </c>
      <c r="F138" s="69" t="s">
        <v>146</v>
      </c>
      <c r="G138" s="69" t="s">
        <v>147</v>
      </c>
      <c r="H138" s="69" t="s">
        <v>148</v>
      </c>
      <c r="I138" s="69" t="s">
        <v>149</v>
      </c>
      <c r="J138" s="69" t="s">
        <v>150</v>
      </c>
      <c r="K138" s="69">
        <v>1.3</v>
      </c>
      <c r="L138" s="69">
        <v>0.6</v>
      </c>
      <c r="M138" s="69">
        <v>3.2</v>
      </c>
      <c r="N138" s="69" t="s">
        <v>151</v>
      </c>
      <c r="O138" s="69">
        <f t="shared" si="5"/>
        <v>2.4960000000000004</v>
      </c>
      <c r="P138" s="69">
        <v>83</v>
      </c>
      <c r="Q138" s="69">
        <f t="shared" si="4"/>
        <v>108.26024096385545</v>
      </c>
    </row>
    <row r="139" spans="5:17" x14ac:dyDescent="0.25">
      <c r="E139" s="69">
        <v>133</v>
      </c>
      <c r="F139" s="69" t="s">
        <v>146</v>
      </c>
      <c r="G139" s="69" t="s">
        <v>147</v>
      </c>
      <c r="H139" s="69" t="s">
        <v>148</v>
      </c>
      <c r="I139" s="69" t="s">
        <v>149</v>
      </c>
      <c r="J139" s="69" t="s">
        <v>150</v>
      </c>
      <c r="K139" s="69">
        <v>1.3</v>
      </c>
      <c r="L139" s="69">
        <v>0.6</v>
      </c>
      <c r="M139" s="69">
        <v>3.2</v>
      </c>
      <c r="N139" s="69" t="s">
        <v>151</v>
      </c>
      <c r="O139" s="69">
        <f t="shared" si="5"/>
        <v>2.4960000000000004</v>
      </c>
      <c r="P139" s="69">
        <v>89</v>
      </c>
      <c r="Q139" s="69">
        <f t="shared" si="4"/>
        <v>100.96179775280902</v>
      </c>
    </row>
    <row r="140" spans="5:17" x14ac:dyDescent="0.25">
      <c r="E140" s="69">
        <v>134</v>
      </c>
      <c r="F140" s="69" t="s">
        <v>146</v>
      </c>
      <c r="G140" s="69" t="s">
        <v>147</v>
      </c>
      <c r="H140" s="69" t="s">
        <v>148</v>
      </c>
      <c r="I140" s="69" t="s">
        <v>149</v>
      </c>
      <c r="J140" s="69" t="s">
        <v>150</v>
      </c>
      <c r="K140" s="69">
        <v>1.3</v>
      </c>
      <c r="L140" s="69">
        <v>0.6</v>
      </c>
      <c r="M140" s="69">
        <v>3.2</v>
      </c>
      <c r="N140" s="69" t="s">
        <v>151</v>
      </c>
      <c r="O140" s="69">
        <f t="shared" si="5"/>
        <v>2.4960000000000004</v>
      </c>
      <c r="P140" s="69">
        <v>103</v>
      </c>
      <c r="Q140" s="69">
        <f t="shared" si="4"/>
        <v>87.238834951456326</v>
      </c>
    </row>
    <row r="141" spans="5:17" x14ac:dyDescent="0.25">
      <c r="E141" s="69">
        <v>135</v>
      </c>
      <c r="F141" s="69" t="s">
        <v>146</v>
      </c>
      <c r="G141" s="69" t="s">
        <v>147</v>
      </c>
      <c r="H141" s="69" t="s">
        <v>148</v>
      </c>
      <c r="I141" s="69" t="s">
        <v>149</v>
      </c>
      <c r="J141" s="69" t="s">
        <v>150</v>
      </c>
      <c r="K141" s="69">
        <v>1.3</v>
      </c>
      <c r="L141" s="69">
        <v>0.6</v>
      </c>
      <c r="M141" s="69">
        <v>3.2</v>
      </c>
      <c r="N141" s="69" t="s">
        <v>151</v>
      </c>
      <c r="O141" s="69">
        <f t="shared" si="5"/>
        <v>2.4960000000000004</v>
      </c>
      <c r="P141" s="69">
        <v>117</v>
      </c>
      <c r="Q141" s="69">
        <f t="shared" si="4"/>
        <v>76.800000000000026</v>
      </c>
    </row>
    <row r="142" spans="5:17" x14ac:dyDescent="0.25">
      <c r="E142" s="69">
        <v>136</v>
      </c>
      <c r="F142" s="69" t="s">
        <v>146</v>
      </c>
      <c r="G142" s="69" t="s">
        <v>147</v>
      </c>
      <c r="H142" s="69" t="s">
        <v>148</v>
      </c>
      <c r="I142" s="69" t="s">
        <v>149</v>
      </c>
      <c r="J142" s="69" t="s">
        <v>150</v>
      </c>
      <c r="K142" s="69">
        <v>1.3</v>
      </c>
      <c r="L142" s="69">
        <v>0.6</v>
      </c>
      <c r="M142" s="69">
        <v>3.2</v>
      </c>
      <c r="N142" s="69" t="s">
        <v>151</v>
      </c>
      <c r="O142" s="69">
        <f t="shared" si="5"/>
        <v>2.4960000000000004</v>
      </c>
      <c r="P142" s="69">
        <v>93</v>
      </c>
      <c r="Q142" s="69">
        <f t="shared" si="4"/>
        <v>96.619354838709697</v>
      </c>
    </row>
    <row r="143" spans="5:17" x14ac:dyDescent="0.25">
      <c r="E143" s="69">
        <v>137</v>
      </c>
      <c r="F143" s="69" t="s">
        <v>146</v>
      </c>
      <c r="G143" s="69" t="s">
        <v>147</v>
      </c>
      <c r="H143" s="69" t="s">
        <v>148</v>
      </c>
      <c r="I143" s="69" t="s">
        <v>149</v>
      </c>
      <c r="J143" s="69" t="s">
        <v>150</v>
      </c>
      <c r="K143" s="69">
        <v>1.3</v>
      </c>
      <c r="L143" s="69">
        <v>0.6</v>
      </c>
      <c r="M143" s="69">
        <v>3.2</v>
      </c>
      <c r="N143" s="69" t="s">
        <v>151</v>
      </c>
      <c r="O143" s="69">
        <f t="shared" si="5"/>
        <v>2.4960000000000004</v>
      </c>
      <c r="P143" s="69">
        <v>112</v>
      </c>
      <c r="Q143" s="69">
        <f t="shared" si="4"/>
        <v>80.228571428571442</v>
      </c>
    </row>
    <row r="144" spans="5:17" x14ac:dyDescent="0.25">
      <c r="E144" s="69">
        <v>138</v>
      </c>
      <c r="F144" s="69" t="s">
        <v>146</v>
      </c>
      <c r="G144" s="69" t="s">
        <v>147</v>
      </c>
      <c r="H144" s="69" t="s">
        <v>148</v>
      </c>
      <c r="I144" s="69" t="s">
        <v>149</v>
      </c>
      <c r="J144" s="69" t="s">
        <v>150</v>
      </c>
      <c r="K144" s="69">
        <v>1.3</v>
      </c>
      <c r="L144" s="69">
        <v>0.6</v>
      </c>
      <c r="M144" s="69">
        <v>3.2</v>
      </c>
      <c r="N144" s="69" t="s">
        <v>151</v>
      </c>
      <c r="O144" s="69">
        <f t="shared" si="5"/>
        <v>2.4960000000000004</v>
      </c>
      <c r="P144" s="69">
        <v>107</v>
      </c>
      <c r="Q144" s="69">
        <f t="shared" si="4"/>
        <v>83.97757009345797</v>
      </c>
    </row>
    <row r="145" spans="5:20" x14ac:dyDescent="0.25">
      <c r="E145" s="69">
        <v>139</v>
      </c>
      <c r="F145" s="69" t="s">
        <v>146</v>
      </c>
      <c r="G145" s="69" t="s">
        <v>147</v>
      </c>
      <c r="H145" s="69" t="s">
        <v>148</v>
      </c>
      <c r="I145" s="69" t="s">
        <v>149</v>
      </c>
      <c r="J145" s="69" t="s">
        <v>150</v>
      </c>
      <c r="K145" s="69">
        <v>1.3</v>
      </c>
      <c r="L145" s="69">
        <v>0.6</v>
      </c>
      <c r="M145" s="69">
        <v>3.2</v>
      </c>
      <c r="N145" s="69" t="s">
        <v>151</v>
      </c>
      <c r="O145" s="69">
        <f t="shared" si="5"/>
        <v>2.4960000000000004</v>
      </c>
      <c r="P145" s="69">
        <v>94</v>
      </c>
      <c r="Q145" s="69">
        <f t="shared" si="4"/>
        <v>95.591489361702145</v>
      </c>
    </row>
    <row r="146" spans="5:20" x14ac:dyDescent="0.25">
      <c r="E146" s="69">
        <v>140</v>
      </c>
      <c r="F146" s="69" t="s">
        <v>146</v>
      </c>
      <c r="G146" s="69" t="s">
        <v>147</v>
      </c>
      <c r="H146" s="69" t="s">
        <v>148</v>
      </c>
      <c r="I146" s="69" t="s">
        <v>149</v>
      </c>
      <c r="J146" s="69" t="s">
        <v>150</v>
      </c>
      <c r="K146" s="69">
        <v>1.3</v>
      </c>
      <c r="L146" s="69">
        <v>0.6</v>
      </c>
      <c r="M146" s="69">
        <v>3.2</v>
      </c>
      <c r="N146" s="69" t="s">
        <v>151</v>
      </c>
      <c r="O146" s="69">
        <f t="shared" si="5"/>
        <v>2.4960000000000004</v>
      </c>
      <c r="P146" s="69">
        <v>75</v>
      </c>
      <c r="Q146" s="69">
        <f t="shared" si="4"/>
        <v>119.80800000000004</v>
      </c>
    </row>
    <row r="147" spans="5:20" x14ac:dyDescent="0.25">
      <c r="E147" s="69">
        <v>141</v>
      </c>
      <c r="F147" s="69" t="s">
        <v>146</v>
      </c>
      <c r="G147" s="69" t="s">
        <v>147</v>
      </c>
      <c r="H147" s="69" t="s">
        <v>148</v>
      </c>
      <c r="I147" s="69" t="s">
        <v>149</v>
      </c>
      <c r="J147" s="69" t="s">
        <v>150</v>
      </c>
      <c r="K147" s="69">
        <v>1.3</v>
      </c>
      <c r="L147" s="69">
        <v>0.6</v>
      </c>
      <c r="M147" s="69">
        <v>3.2</v>
      </c>
      <c r="N147" s="69" t="s">
        <v>151</v>
      </c>
      <c r="O147" s="69">
        <f t="shared" si="5"/>
        <v>2.4960000000000004</v>
      </c>
      <c r="P147" s="69">
        <v>99</v>
      </c>
      <c r="Q147" s="69">
        <f t="shared" si="4"/>
        <v>90.76363636363638</v>
      </c>
    </row>
    <row r="148" spans="5:20" x14ac:dyDescent="0.25">
      <c r="E148" s="69">
        <v>142</v>
      </c>
      <c r="F148" s="69" t="s">
        <v>146</v>
      </c>
      <c r="G148" s="69" t="s">
        <v>147</v>
      </c>
      <c r="H148" s="69" t="s">
        <v>148</v>
      </c>
      <c r="I148" s="69" t="s">
        <v>149</v>
      </c>
      <c r="J148" s="69" t="s">
        <v>150</v>
      </c>
      <c r="K148" s="69">
        <v>1.3</v>
      </c>
      <c r="L148" s="69">
        <v>0.6</v>
      </c>
      <c r="M148" s="69">
        <v>3.2</v>
      </c>
      <c r="N148" s="69" t="s">
        <v>151</v>
      </c>
      <c r="O148" s="69">
        <f t="shared" si="5"/>
        <v>2.4960000000000004</v>
      </c>
      <c r="P148" s="69">
        <v>127</v>
      </c>
      <c r="Q148" s="69">
        <f t="shared" si="4"/>
        <v>70.752755905511833</v>
      </c>
    </row>
    <row r="149" spans="5:20" x14ac:dyDescent="0.25">
      <c r="E149" s="69">
        <v>143</v>
      </c>
      <c r="F149" s="69" t="s">
        <v>146</v>
      </c>
      <c r="G149" s="69" t="s">
        <v>147</v>
      </c>
      <c r="H149" s="69" t="s">
        <v>148</v>
      </c>
      <c r="I149" s="69" t="s">
        <v>149</v>
      </c>
      <c r="J149" s="69" t="s">
        <v>150</v>
      </c>
      <c r="K149" s="69">
        <v>1.3</v>
      </c>
      <c r="L149" s="69">
        <v>0.6</v>
      </c>
      <c r="M149" s="69">
        <v>3.2</v>
      </c>
      <c r="N149" s="69" t="s">
        <v>151</v>
      </c>
      <c r="O149" s="69">
        <f t="shared" si="5"/>
        <v>2.4960000000000004</v>
      </c>
      <c r="P149" s="69">
        <v>822</v>
      </c>
      <c r="Q149" s="69">
        <f t="shared" si="4"/>
        <v>10.931386861313872</v>
      </c>
      <c r="T149" s="1">
        <v>727</v>
      </c>
    </row>
    <row r="150" spans="5:20" x14ac:dyDescent="0.25">
      <c r="E150" s="69">
        <v>144</v>
      </c>
      <c r="F150" s="69" t="s">
        <v>146</v>
      </c>
      <c r="G150" s="69" t="s">
        <v>147</v>
      </c>
      <c r="H150" s="69" t="s">
        <v>148</v>
      </c>
      <c r="I150" s="69" t="s">
        <v>149</v>
      </c>
      <c r="J150" s="69" t="s">
        <v>150</v>
      </c>
      <c r="K150" s="69">
        <v>1.3</v>
      </c>
      <c r="L150" s="69">
        <v>0.6</v>
      </c>
      <c r="M150" s="69">
        <v>3.2</v>
      </c>
      <c r="N150" s="69" t="s">
        <v>151</v>
      </c>
      <c r="O150" s="69">
        <f t="shared" si="5"/>
        <v>2.4960000000000004</v>
      </c>
      <c r="P150" s="69">
        <v>98</v>
      </c>
      <c r="Q150" s="69">
        <f t="shared" si="4"/>
        <v>91.689795918367366</v>
      </c>
    </row>
    <row r="151" spans="5:20" x14ac:dyDescent="0.25">
      <c r="E151" s="69">
        <v>145</v>
      </c>
      <c r="F151" s="69" t="s">
        <v>146</v>
      </c>
      <c r="G151" s="69" t="s">
        <v>147</v>
      </c>
      <c r="H151" s="69" t="s">
        <v>148</v>
      </c>
      <c r="I151" s="69" t="s">
        <v>149</v>
      </c>
      <c r="J151" s="69" t="s">
        <v>150</v>
      </c>
      <c r="K151" s="69">
        <v>1.3</v>
      </c>
      <c r="L151" s="69">
        <v>0.6</v>
      </c>
      <c r="M151" s="69">
        <v>3.2</v>
      </c>
      <c r="N151" s="69" t="s">
        <v>151</v>
      </c>
      <c r="O151" s="69">
        <f t="shared" si="5"/>
        <v>2.4960000000000004</v>
      </c>
      <c r="P151" s="69">
        <v>54</v>
      </c>
      <c r="Q151" s="69">
        <f t="shared" si="4"/>
        <v>166.40000000000003</v>
      </c>
    </row>
    <row r="152" spans="5:20" x14ac:dyDescent="0.25">
      <c r="E152" s="69">
        <v>146</v>
      </c>
      <c r="F152" s="69" t="s">
        <v>146</v>
      </c>
      <c r="G152" s="69" t="s">
        <v>147</v>
      </c>
      <c r="H152" s="69" t="s">
        <v>148</v>
      </c>
      <c r="I152" s="69" t="s">
        <v>149</v>
      </c>
      <c r="J152" s="69" t="s">
        <v>150</v>
      </c>
      <c r="K152" s="69">
        <v>1.3</v>
      </c>
      <c r="L152" s="69">
        <v>0.6</v>
      </c>
      <c r="M152" s="69">
        <v>3.2</v>
      </c>
      <c r="N152" s="69" t="s">
        <v>151</v>
      </c>
      <c r="O152" s="69">
        <f t="shared" si="5"/>
        <v>2.4960000000000004</v>
      </c>
      <c r="P152" s="69">
        <v>115</v>
      </c>
      <c r="Q152" s="69">
        <f t="shared" si="4"/>
        <v>78.135652173913059</v>
      </c>
    </row>
    <row r="153" spans="5:20" x14ac:dyDescent="0.25">
      <c r="E153" s="69">
        <v>147</v>
      </c>
      <c r="F153" s="69" t="s">
        <v>146</v>
      </c>
      <c r="G153" s="69" t="s">
        <v>147</v>
      </c>
      <c r="H153" s="69" t="s">
        <v>148</v>
      </c>
      <c r="I153" s="69" t="s">
        <v>149</v>
      </c>
      <c r="J153" s="69" t="s">
        <v>150</v>
      </c>
      <c r="K153" s="69">
        <v>1.3</v>
      </c>
      <c r="L153" s="69">
        <v>0.6</v>
      </c>
      <c r="M153" s="69">
        <v>3.2</v>
      </c>
      <c r="N153" s="69" t="s">
        <v>151</v>
      </c>
      <c r="O153" s="69">
        <f t="shared" si="5"/>
        <v>2.4960000000000004</v>
      </c>
      <c r="P153" s="69">
        <v>96</v>
      </c>
      <c r="Q153" s="69">
        <f t="shared" si="4"/>
        <v>93.600000000000023</v>
      </c>
    </row>
    <row r="154" spans="5:20" x14ac:dyDescent="0.25">
      <c r="E154" s="69">
        <v>148</v>
      </c>
      <c r="F154" s="69" t="s">
        <v>146</v>
      </c>
      <c r="G154" s="69" t="s">
        <v>147</v>
      </c>
      <c r="H154" s="69" t="s">
        <v>148</v>
      </c>
      <c r="I154" s="69" t="s">
        <v>149</v>
      </c>
      <c r="J154" s="69" t="s">
        <v>150</v>
      </c>
      <c r="K154" s="69">
        <v>1.3</v>
      </c>
      <c r="L154" s="69">
        <v>0.6</v>
      </c>
      <c r="M154" s="69">
        <v>3.2</v>
      </c>
      <c r="N154" s="69" t="s">
        <v>151</v>
      </c>
      <c r="O154" s="69">
        <f t="shared" si="5"/>
        <v>2.4960000000000004</v>
      </c>
      <c r="P154" s="69">
        <v>83</v>
      </c>
      <c r="Q154" s="69">
        <f t="shared" si="4"/>
        <v>108.26024096385545</v>
      </c>
    </row>
    <row r="155" spans="5:20" x14ac:dyDescent="0.25">
      <c r="E155" s="69">
        <v>149</v>
      </c>
      <c r="F155" s="69" t="s">
        <v>146</v>
      </c>
      <c r="G155" s="69" t="s">
        <v>147</v>
      </c>
      <c r="H155" s="69" t="s">
        <v>148</v>
      </c>
      <c r="I155" s="69" t="s">
        <v>149</v>
      </c>
      <c r="J155" s="69" t="s">
        <v>150</v>
      </c>
      <c r="K155" s="69">
        <v>1.3</v>
      </c>
      <c r="L155" s="69">
        <v>0.6</v>
      </c>
      <c r="M155" s="69">
        <v>3.2</v>
      </c>
      <c r="N155" s="69" t="s">
        <v>151</v>
      </c>
      <c r="O155" s="69">
        <f t="shared" si="5"/>
        <v>2.4960000000000004</v>
      </c>
      <c r="P155" s="69">
        <v>89</v>
      </c>
      <c r="Q155" s="69">
        <f t="shared" si="4"/>
        <v>100.96179775280902</v>
      </c>
    </row>
    <row r="156" spans="5:20" x14ac:dyDescent="0.25">
      <c r="E156" s="69">
        <v>150</v>
      </c>
      <c r="F156" s="69" t="s">
        <v>146</v>
      </c>
      <c r="G156" s="69" t="s">
        <v>147</v>
      </c>
      <c r="H156" s="69" t="s">
        <v>148</v>
      </c>
      <c r="I156" s="69" t="s">
        <v>149</v>
      </c>
      <c r="J156" s="69" t="s">
        <v>150</v>
      </c>
      <c r="K156" s="69">
        <v>1.3</v>
      </c>
      <c r="L156" s="69">
        <v>0.6</v>
      </c>
      <c r="M156" s="69">
        <v>3.2</v>
      </c>
      <c r="N156" s="69" t="s">
        <v>151</v>
      </c>
      <c r="O156" s="69">
        <f t="shared" si="5"/>
        <v>2.4960000000000004</v>
      </c>
      <c r="P156" s="69">
        <v>97</v>
      </c>
      <c r="Q156" s="69">
        <f t="shared" si="4"/>
        <v>92.635051546391779</v>
      </c>
    </row>
    <row r="157" spans="5:20" x14ac:dyDescent="0.25">
      <c r="E157" s="69">
        <v>151</v>
      </c>
      <c r="F157" s="69" t="s">
        <v>146</v>
      </c>
      <c r="G157" s="69" t="s">
        <v>147</v>
      </c>
      <c r="H157" s="69" t="s">
        <v>148</v>
      </c>
      <c r="I157" s="69" t="s">
        <v>149</v>
      </c>
      <c r="J157" s="69" t="s">
        <v>150</v>
      </c>
      <c r="K157" s="69">
        <v>1.3</v>
      </c>
      <c r="L157" s="69">
        <v>0.6</v>
      </c>
      <c r="M157" s="69">
        <v>3.2</v>
      </c>
      <c r="N157" s="69" t="s">
        <v>151</v>
      </c>
      <c r="O157" s="69">
        <f t="shared" si="5"/>
        <v>2.4960000000000004</v>
      </c>
      <c r="P157" s="69">
        <v>102</v>
      </c>
      <c r="Q157" s="69">
        <f t="shared" si="4"/>
        <v>88.094117647058852</v>
      </c>
    </row>
    <row r="158" spans="5:20" x14ac:dyDescent="0.25">
      <c r="E158" s="69">
        <v>152</v>
      </c>
      <c r="F158" s="69" t="s">
        <v>146</v>
      </c>
      <c r="G158" s="69" t="s">
        <v>147</v>
      </c>
      <c r="H158" s="69" t="s">
        <v>148</v>
      </c>
      <c r="I158" s="69" t="s">
        <v>149</v>
      </c>
      <c r="J158" s="69" t="s">
        <v>150</v>
      </c>
      <c r="K158" s="69">
        <v>1.3</v>
      </c>
      <c r="L158" s="69">
        <v>0.6</v>
      </c>
      <c r="M158" s="69">
        <v>3.2</v>
      </c>
      <c r="N158" s="69" t="s">
        <v>151</v>
      </c>
      <c r="O158" s="69">
        <f t="shared" si="5"/>
        <v>2.4960000000000004</v>
      </c>
      <c r="P158" s="69">
        <v>104</v>
      </c>
      <c r="Q158" s="69">
        <f t="shared" si="4"/>
        <v>86.40000000000002</v>
      </c>
    </row>
    <row r="159" spans="5:20" x14ac:dyDescent="0.25">
      <c r="E159" s="69">
        <v>153</v>
      </c>
      <c r="F159" s="69" t="s">
        <v>146</v>
      </c>
      <c r="G159" s="69" t="s">
        <v>147</v>
      </c>
      <c r="H159" s="69" t="s">
        <v>148</v>
      </c>
      <c r="I159" s="69" t="s">
        <v>149</v>
      </c>
      <c r="J159" s="69" t="s">
        <v>150</v>
      </c>
      <c r="K159" s="69">
        <v>1.3</v>
      </c>
      <c r="L159" s="69">
        <v>0.6</v>
      </c>
      <c r="M159" s="69">
        <v>3.2</v>
      </c>
      <c r="N159" s="69" t="s">
        <v>151</v>
      </c>
      <c r="O159" s="69">
        <f t="shared" si="5"/>
        <v>2.4960000000000004</v>
      </c>
      <c r="P159" s="69">
        <v>95</v>
      </c>
      <c r="Q159" s="69">
        <f t="shared" si="4"/>
        <v>94.585263157894758</v>
      </c>
    </row>
    <row r="160" spans="5:20" x14ac:dyDescent="0.25">
      <c r="E160" s="69">
        <v>154</v>
      </c>
      <c r="F160" s="69" t="s">
        <v>146</v>
      </c>
      <c r="G160" s="69" t="s">
        <v>147</v>
      </c>
      <c r="H160" s="69" t="s">
        <v>148</v>
      </c>
      <c r="I160" s="69" t="s">
        <v>149</v>
      </c>
      <c r="J160" s="69" t="s">
        <v>150</v>
      </c>
      <c r="K160" s="69">
        <v>1.3</v>
      </c>
      <c r="L160" s="69">
        <v>0.6</v>
      </c>
      <c r="M160" s="69">
        <v>3.2</v>
      </c>
      <c r="N160" s="69" t="s">
        <v>151</v>
      </c>
      <c r="O160" s="69">
        <f t="shared" si="5"/>
        <v>2.4960000000000004</v>
      </c>
      <c r="P160" s="69">
        <v>76</v>
      </c>
      <c r="Q160" s="69">
        <f t="shared" si="4"/>
        <v>118.23157894736845</v>
      </c>
    </row>
    <row r="161" spans="5:17" x14ac:dyDescent="0.25">
      <c r="E161" s="69">
        <v>155</v>
      </c>
      <c r="F161" s="69" t="s">
        <v>146</v>
      </c>
      <c r="G161" s="69" t="s">
        <v>147</v>
      </c>
      <c r="H161" s="69" t="s">
        <v>148</v>
      </c>
      <c r="I161" s="69" t="s">
        <v>149</v>
      </c>
      <c r="J161" s="69" t="s">
        <v>150</v>
      </c>
      <c r="K161" s="69">
        <v>1.3</v>
      </c>
      <c r="L161" s="69">
        <v>0.6</v>
      </c>
      <c r="M161" s="69">
        <v>3.2</v>
      </c>
      <c r="N161" s="69" t="s">
        <v>151</v>
      </c>
      <c r="O161" s="69">
        <f t="shared" si="5"/>
        <v>2.4960000000000004</v>
      </c>
      <c r="P161" s="69">
        <v>109</v>
      </c>
      <c r="Q161" s="69">
        <f t="shared" si="4"/>
        <v>82.436697247706448</v>
      </c>
    </row>
    <row r="162" spans="5:17" x14ac:dyDescent="0.25">
      <c r="E162" s="69">
        <v>156</v>
      </c>
      <c r="F162" s="69" t="s">
        <v>146</v>
      </c>
      <c r="G162" s="69" t="s">
        <v>147</v>
      </c>
      <c r="H162" s="69" t="s">
        <v>148</v>
      </c>
      <c r="I162" s="69" t="s">
        <v>149</v>
      </c>
      <c r="J162" s="69" t="s">
        <v>150</v>
      </c>
      <c r="K162" s="69">
        <v>1.3</v>
      </c>
      <c r="L162" s="69">
        <v>0.6</v>
      </c>
      <c r="M162" s="69">
        <v>3.2</v>
      </c>
      <c r="N162" s="69" t="s">
        <v>151</v>
      </c>
      <c r="O162" s="69">
        <f t="shared" si="5"/>
        <v>2.4960000000000004</v>
      </c>
      <c r="P162" s="69">
        <v>118</v>
      </c>
      <c r="Q162" s="69">
        <f t="shared" si="4"/>
        <v>76.149152542372903</v>
      </c>
    </row>
    <row r="163" spans="5:17" x14ac:dyDescent="0.25">
      <c r="E163" s="69">
        <v>157</v>
      </c>
      <c r="F163" s="69" t="s">
        <v>146</v>
      </c>
      <c r="G163" s="69" t="s">
        <v>147</v>
      </c>
      <c r="H163" s="69" t="s">
        <v>148</v>
      </c>
      <c r="I163" s="69" t="s">
        <v>149</v>
      </c>
      <c r="J163" s="69" t="s">
        <v>150</v>
      </c>
      <c r="K163" s="69">
        <v>1.3</v>
      </c>
      <c r="L163" s="69">
        <v>0.6</v>
      </c>
      <c r="M163" s="69">
        <v>3.2</v>
      </c>
      <c r="N163" s="69" t="s">
        <v>151</v>
      </c>
      <c r="O163" s="69">
        <f t="shared" si="5"/>
        <v>2.4960000000000004</v>
      </c>
      <c r="P163" s="69">
        <v>114</v>
      </c>
      <c r="Q163" s="69">
        <f t="shared" si="4"/>
        <v>78.821052631578965</v>
      </c>
    </row>
    <row r="164" spans="5:17" x14ac:dyDescent="0.25">
      <c r="E164" s="69">
        <v>158</v>
      </c>
      <c r="F164" s="69" t="s">
        <v>146</v>
      </c>
      <c r="G164" s="69" t="s">
        <v>147</v>
      </c>
      <c r="H164" s="69" t="s">
        <v>148</v>
      </c>
      <c r="I164" s="69" t="s">
        <v>149</v>
      </c>
      <c r="J164" s="69" t="s">
        <v>150</v>
      </c>
      <c r="K164" s="69">
        <v>1.3</v>
      </c>
      <c r="L164" s="69">
        <v>0.6</v>
      </c>
      <c r="M164" s="69">
        <v>3.2</v>
      </c>
      <c r="N164" s="69" t="s">
        <v>151</v>
      </c>
      <c r="O164" s="69">
        <f t="shared" si="5"/>
        <v>2.4960000000000004</v>
      </c>
      <c r="P164" s="69">
        <v>91</v>
      </c>
      <c r="Q164" s="69">
        <f t="shared" si="4"/>
        <v>98.742857142857162</v>
      </c>
    </row>
    <row r="165" spans="5:17" x14ac:dyDescent="0.25">
      <c r="E165" s="69">
        <v>159</v>
      </c>
      <c r="F165" s="69" t="s">
        <v>146</v>
      </c>
      <c r="G165" s="69" t="s">
        <v>147</v>
      </c>
      <c r="H165" s="69" t="s">
        <v>148</v>
      </c>
      <c r="I165" s="69" t="s">
        <v>149</v>
      </c>
      <c r="J165" s="69" t="s">
        <v>150</v>
      </c>
      <c r="K165" s="69">
        <v>1.3</v>
      </c>
      <c r="L165" s="69">
        <v>0.6</v>
      </c>
      <c r="M165" s="69">
        <v>3.2</v>
      </c>
      <c r="N165" s="69" t="s">
        <v>151</v>
      </c>
      <c r="O165" s="69">
        <f t="shared" si="5"/>
        <v>2.4960000000000004</v>
      </c>
      <c r="P165" s="69">
        <v>62</v>
      </c>
      <c r="Q165" s="69">
        <f t="shared" si="4"/>
        <v>144.92903225806455</v>
      </c>
    </row>
    <row r="166" spans="5:17" x14ac:dyDescent="0.25">
      <c r="E166" s="69">
        <v>160</v>
      </c>
      <c r="F166" s="69" t="s">
        <v>146</v>
      </c>
      <c r="G166" s="69" t="s">
        <v>147</v>
      </c>
      <c r="H166" s="69" t="s">
        <v>148</v>
      </c>
      <c r="I166" s="69" t="s">
        <v>149</v>
      </c>
      <c r="J166" s="69" t="s">
        <v>150</v>
      </c>
      <c r="K166" s="69">
        <v>1.3</v>
      </c>
      <c r="L166" s="69">
        <v>0.6</v>
      </c>
      <c r="M166" s="69">
        <v>3.2</v>
      </c>
      <c r="N166" s="69" t="s">
        <v>151</v>
      </c>
      <c r="O166" s="69">
        <f t="shared" si="5"/>
        <v>2.4960000000000004</v>
      </c>
      <c r="P166" s="69">
        <v>91</v>
      </c>
      <c r="Q166" s="69">
        <f t="shared" si="4"/>
        <v>98.742857142857162</v>
      </c>
    </row>
    <row r="167" spans="5:17" x14ac:dyDescent="0.25">
      <c r="E167" s="69">
        <v>161</v>
      </c>
      <c r="F167" s="69" t="s">
        <v>146</v>
      </c>
      <c r="G167" s="69" t="s">
        <v>147</v>
      </c>
      <c r="H167" s="69" t="s">
        <v>148</v>
      </c>
      <c r="I167" s="69" t="s">
        <v>149</v>
      </c>
      <c r="J167" s="69" t="s">
        <v>150</v>
      </c>
      <c r="K167" s="69">
        <v>1.3</v>
      </c>
      <c r="L167" s="69">
        <v>0.6</v>
      </c>
      <c r="M167" s="69">
        <v>3.2</v>
      </c>
      <c r="N167" s="69" t="s">
        <v>151</v>
      </c>
      <c r="O167" s="69">
        <f t="shared" si="5"/>
        <v>2.4960000000000004</v>
      </c>
      <c r="P167" s="69">
        <v>88</v>
      </c>
      <c r="Q167" s="69">
        <f t="shared" si="4"/>
        <v>102.10909090909094</v>
      </c>
    </row>
    <row r="168" spans="5:17" x14ac:dyDescent="0.25">
      <c r="E168" s="69">
        <v>162</v>
      </c>
      <c r="F168" s="69" t="s">
        <v>146</v>
      </c>
      <c r="G168" s="69" t="s">
        <v>147</v>
      </c>
      <c r="H168" s="69" t="s">
        <v>148</v>
      </c>
      <c r="I168" s="69" t="s">
        <v>149</v>
      </c>
      <c r="J168" s="69" t="s">
        <v>150</v>
      </c>
      <c r="K168" s="69">
        <v>1.3</v>
      </c>
      <c r="L168" s="69">
        <v>0.6</v>
      </c>
      <c r="M168" s="69">
        <v>3.2</v>
      </c>
      <c r="N168" s="69" t="s">
        <v>151</v>
      </c>
      <c r="O168" s="69">
        <f t="shared" si="5"/>
        <v>2.4960000000000004</v>
      </c>
      <c r="P168" s="69">
        <v>104</v>
      </c>
      <c r="Q168" s="69">
        <f t="shared" si="4"/>
        <v>86.40000000000002</v>
      </c>
    </row>
    <row r="169" spans="5:17" x14ac:dyDescent="0.25">
      <c r="E169" s="69">
        <v>163</v>
      </c>
      <c r="F169" s="69" t="s">
        <v>146</v>
      </c>
      <c r="G169" s="69" t="s">
        <v>147</v>
      </c>
      <c r="H169" s="69" t="s">
        <v>148</v>
      </c>
      <c r="I169" s="69" t="s">
        <v>149</v>
      </c>
      <c r="J169" s="69" t="s">
        <v>150</v>
      </c>
      <c r="K169" s="69">
        <v>1.3</v>
      </c>
      <c r="L169" s="69">
        <v>0.6</v>
      </c>
      <c r="M169" s="69">
        <v>3.2</v>
      </c>
      <c r="N169" s="69" t="s">
        <v>151</v>
      </c>
      <c r="O169" s="69">
        <f t="shared" si="5"/>
        <v>2.4960000000000004</v>
      </c>
      <c r="P169" s="69">
        <v>108</v>
      </c>
      <c r="Q169" s="69">
        <f t="shared" si="4"/>
        <v>83.200000000000017</v>
      </c>
    </row>
    <row r="170" spans="5:17" x14ac:dyDescent="0.25">
      <c r="E170" s="69">
        <v>164</v>
      </c>
      <c r="F170" s="69" t="s">
        <v>146</v>
      </c>
      <c r="G170" s="69" t="s">
        <v>147</v>
      </c>
      <c r="H170" s="69" t="s">
        <v>148</v>
      </c>
      <c r="I170" s="69" t="s">
        <v>149</v>
      </c>
      <c r="J170" s="69" t="s">
        <v>150</v>
      </c>
      <c r="K170" s="69">
        <v>1.3</v>
      </c>
      <c r="L170" s="69">
        <v>0.6</v>
      </c>
      <c r="M170" s="69">
        <v>3.2</v>
      </c>
      <c r="N170" s="69" t="s">
        <v>151</v>
      </c>
      <c r="O170" s="69">
        <f t="shared" si="5"/>
        <v>2.4960000000000004</v>
      </c>
      <c r="P170" s="69">
        <v>93</v>
      </c>
      <c r="Q170" s="69">
        <f t="shared" si="4"/>
        <v>96.619354838709697</v>
      </c>
    </row>
    <row r="171" spans="5:17" x14ac:dyDescent="0.25">
      <c r="E171" s="69">
        <v>165</v>
      </c>
      <c r="F171" s="69" t="s">
        <v>146</v>
      </c>
      <c r="G171" s="69" t="s">
        <v>147</v>
      </c>
      <c r="H171" s="69" t="s">
        <v>148</v>
      </c>
      <c r="I171" s="69" t="s">
        <v>149</v>
      </c>
      <c r="J171" s="69" t="s">
        <v>150</v>
      </c>
      <c r="K171" s="69">
        <v>1.3</v>
      </c>
      <c r="L171" s="69">
        <v>0.6</v>
      </c>
      <c r="M171" s="69">
        <v>3.2</v>
      </c>
      <c r="N171" s="69" t="s">
        <v>151</v>
      </c>
      <c r="O171" s="69">
        <f t="shared" si="5"/>
        <v>2.4960000000000004</v>
      </c>
      <c r="P171" s="69">
        <v>82</v>
      </c>
      <c r="Q171" s="69">
        <f t="shared" si="4"/>
        <v>109.58048780487808</v>
      </c>
    </row>
    <row r="172" spans="5:17" x14ac:dyDescent="0.25">
      <c r="E172" s="69">
        <v>166</v>
      </c>
      <c r="F172" s="69" t="s">
        <v>146</v>
      </c>
      <c r="G172" s="69" t="s">
        <v>147</v>
      </c>
      <c r="H172" s="69" t="s">
        <v>148</v>
      </c>
      <c r="I172" s="69" t="s">
        <v>149</v>
      </c>
      <c r="J172" s="69" t="s">
        <v>150</v>
      </c>
      <c r="K172" s="69">
        <v>1.3</v>
      </c>
      <c r="L172" s="69">
        <v>0.6</v>
      </c>
      <c r="M172" s="69">
        <v>3.2</v>
      </c>
      <c r="N172" s="69" t="s">
        <v>151</v>
      </c>
      <c r="O172" s="69">
        <f t="shared" si="5"/>
        <v>2.4960000000000004</v>
      </c>
      <c r="P172" s="69">
        <v>126</v>
      </c>
      <c r="Q172" s="69">
        <f t="shared" si="4"/>
        <v>71.314285714285731</v>
      </c>
    </row>
    <row r="173" spans="5:17" x14ac:dyDescent="0.25">
      <c r="E173" s="69">
        <v>167</v>
      </c>
      <c r="F173" s="69" t="s">
        <v>146</v>
      </c>
      <c r="G173" s="69" t="s">
        <v>147</v>
      </c>
      <c r="H173" s="69" t="s">
        <v>148</v>
      </c>
      <c r="I173" s="69" t="s">
        <v>149</v>
      </c>
      <c r="J173" s="69" t="s">
        <v>150</v>
      </c>
      <c r="K173" s="69">
        <v>1.3</v>
      </c>
      <c r="L173" s="69">
        <v>0.6</v>
      </c>
      <c r="M173" s="69">
        <v>3.2</v>
      </c>
      <c r="N173" s="69" t="s">
        <v>151</v>
      </c>
      <c r="O173" s="69">
        <f t="shared" si="5"/>
        <v>2.4960000000000004</v>
      </c>
      <c r="P173" s="69">
        <v>72</v>
      </c>
      <c r="Q173" s="69">
        <f t="shared" si="4"/>
        <v>124.80000000000003</v>
      </c>
    </row>
    <row r="174" spans="5:17" x14ac:dyDescent="0.25">
      <c r="E174" s="69">
        <v>168</v>
      </c>
      <c r="F174" s="69" t="s">
        <v>146</v>
      </c>
      <c r="G174" s="69" t="s">
        <v>147</v>
      </c>
      <c r="H174" s="69" t="s">
        <v>148</v>
      </c>
      <c r="I174" s="69" t="s">
        <v>149</v>
      </c>
      <c r="J174" s="69" t="s">
        <v>150</v>
      </c>
      <c r="K174" s="69">
        <v>1.3</v>
      </c>
      <c r="L174" s="69">
        <v>0.6</v>
      </c>
      <c r="M174" s="69">
        <v>3.2</v>
      </c>
      <c r="N174" s="69" t="s">
        <v>151</v>
      </c>
      <c r="O174" s="69">
        <f t="shared" si="5"/>
        <v>2.4960000000000004</v>
      </c>
      <c r="P174" s="69">
        <v>104</v>
      </c>
      <c r="Q174" s="69">
        <f t="shared" si="4"/>
        <v>86.40000000000002</v>
      </c>
    </row>
    <row r="175" spans="5:17" x14ac:dyDescent="0.25">
      <c r="E175" s="69">
        <v>169</v>
      </c>
      <c r="F175" s="69" t="s">
        <v>146</v>
      </c>
      <c r="G175" s="69" t="s">
        <v>147</v>
      </c>
      <c r="H175" s="69" t="s">
        <v>148</v>
      </c>
      <c r="I175" s="69" t="s">
        <v>149</v>
      </c>
      <c r="J175" s="69" t="s">
        <v>150</v>
      </c>
      <c r="K175" s="69">
        <v>1.3</v>
      </c>
      <c r="L175" s="69">
        <v>0.6</v>
      </c>
      <c r="M175" s="69">
        <v>3.2</v>
      </c>
      <c r="N175" s="69" t="s">
        <v>151</v>
      </c>
      <c r="O175" s="69">
        <f t="shared" si="5"/>
        <v>2.4960000000000004</v>
      </c>
      <c r="P175" s="69">
        <v>97</v>
      </c>
      <c r="Q175" s="69">
        <f t="shared" si="4"/>
        <v>92.635051546391779</v>
      </c>
    </row>
    <row r="176" spans="5:17" x14ac:dyDescent="0.25">
      <c r="E176" s="69">
        <v>170</v>
      </c>
      <c r="F176" s="69" t="s">
        <v>146</v>
      </c>
      <c r="G176" s="69" t="s">
        <v>147</v>
      </c>
      <c r="H176" s="69" t="s">
        <v>148</v>
      </c>
      <c r="I176" s="69" t="s">
        <v>149</v>
      </c>
      <c r="J176" s="69" t="s">
        <v>150</v>
      </c>
      <c r="K176" s="69">
        <v>1.3</v>
      </c>
      <c r="L176" s="69">
        <v>0.6</v>
      </c>
      <c r="M176" s="69">
        <v>3.2</v>
      </c>
      <c r="N176" s="69" t="s">
        <v>151</v>
      </c>
      <c r="O176" s="69">
        <f t="shared" si="5"/>
        <v>2.4960000000000004</v>
      </c>
      <c r="P176" s="69">
        <v>95</v>
      </c>
      <c r="Q176" s="69">
        <f t="shared" si="4"/>
        <v>94.585263157894758</v>
      </c>
    </row>
    <row r="177" spans="5:21" x14ac:dyDescent="0.25">
      <c r="E177" s="69">
        <v>171</v>
      </c>
      <c r="F177" s="69" t="s">
        <v>146</v>
      </c>
      <c r="G177" s="69" t="s">
        <v>147</v>
      </c>
      <c r="H177" s="69" t="s">
        <v>148</v>
      </c>
      <c r="I177" s="69" t="s">
        <v>149</v>
      </c>
      <c r="J177" s="69" t="s">
        <v>150</v>
      </c>
      <c r="K177" s="69">
        <v>1.3</v>
      </c>
      <c r="L177" s="69">
        <v>0.6</v>
      </c>
      <c r="M177" s="69">
        <v>3.2</v>
      </c>
      <c r="N177" s="69" t="s">
        <v>151</v>
      </c>
      <c r="O177" s="69">
        <f t="shared" si="5"/>
        <v>2.4960000000000004</v>
      </c>
      <c r="P177" s="69">
        <v>102</v>
      </c>
      <c r="Q177" s="69">
        <f t="shared" si="4"/>
        <v>88.094117647058852</v>
      </c>
    </row>
    <row r="178" spans="5:21" x14ac:dyDescent="0.25">
      <c r="E178" s="69">
        <v>172</v>
      </c>
      <c r="F178" s="69" t="s">
        <v>146</v>
      </c>
      <c r="G178" s="69" t="s">
        <v>147</v>
      </c>
      <c r="H178" s="69" t="s">
        <v>148</v>
      </c>
      <c r="I178" s="69" t="s">
        <v>149</v>
      </c>
      <c r="J178" s="69" t="s">
        <v>150</v>
      </c>
      <c r="K178" s="69">
        <v>1.3</v>
      </c>
      <c r="L178" s="69">
        <v>0.6</v>
      </c>
      <c r="M178" s="69">
        <v>3.2</v>
      </c>
      <c r="N178" s="69" t="s">
        <v>151</v>
      </c>
      <c r="O178" s="69">
        <f t="shared" si="5"/>
        <v>2.4960000000000004</v>
      </c>
      <c r="P178" s="69">
        <v>293</v>
      </c>
      <c r="Q178" s="69">
        <f t="shared" si="4"/>
        <v>30.66757679180888</v>
      </c>
      <c r="U178" s="1">
        <v>171</v>
      </c>
    </row>
    <row r="179" spans="5:21" x14ac:dyDescent="0.25">
      <c r="E179" s="69">
        <v>173</v>
      </c>
      <c r="F179" s="69" t="s">
        <v>146</v>
      </c>
      <c r="G179" s="69" t="s">
        <v>147</v>
      </c>
      <c r="H179" s="69" t="s">
        <v>148</v>
      </c>
      <c r="I179" s="69" t="s">
        <v>149</v>
      </c>
      <c r="J179" s="69" t="s">
        <v>150</v>
      </c>
      <c r="K179" s="69">
        <v>1.3</v>
      </c>
      <c r="L179" s="69">
        <v>0.6</v>
      </c>
      <c r="M179" s="69">
        <v>3.2</v>
      </c>
      <c r="N179" s="69" t="s">
        <v>151</v>
      </c>
      <c r="O179" s="69">
        <f t="shared" si="5"/>
        <v>2.4960000000000004</v>
      </c>
      <c r="P179" s="69">
        <v>131</v>
      </c>
      <c r="Q179" s="69">
        <f t="shared" si="4"/>
        <v>68.592366412213764</v>
      </c>
    </row>
    <row r="180" spans="5:21" x14ac:dyDescent="0.25">
      <c r="E180" s="69">
        <v>174</v>
      </c>
      <c r="F180" s="69" t="s">
        <v>146</v>
      </c>
      <c r="G180" s="69" t="s">
        <v>147</v>
      </c>
      <c r="H180" s="69" t="s">
        <v>148</v>
      </c>
      <c r="I180" s="69" t="s">
        <v>149</v>
      </c>
      <c r="J180" s="69" t="s">
        <v>150</v>
      </c>
      <c r="K180" s="69">
        <v>1.3</v>
      </c>
      <c r="L180" s="69">
        <v>0.6</v>
      </c>
      <c r="M180" s="69">
        <v>3.2</v>
      </c>
      <c r="N180" s="69" t="s">
        <v>151</v>
      </c>
      <c r="O180" s="69">
        <f t="shared" si="5"/>
        <v>2.4960000000000004</v>
      </c>
      <c r="P180" s="69">
        <v>73</v>
      </c>
      <c r="Q180" s="69">
        <f t="shared" si="4"/>
        <v>123.09041095890414</v>
      </c>
    </row>
    <row r="181" spans="5:21" x14ac:dyDescent="0.25">
      <c r="E181" s="69">
        <v>175</v>
      </c>
      <c r="F181" s="69" t="s">
        <v>146</v>
      </c>
      <c r="G181" s="69" t="s">
        <v>147</v>
      </c>
      <c r="H181" s="69" t="s">
        <v>148</v>
      </c>
      <c r="I181" s="69" t="s">
        <v>149</v>
      </c>
      <c r="J181" s="69" t="s">
        <v>150</v>
      </c>
      <c r="K181" s="69">
        <v>1.3</v>
      </c>
      <c r="L181" s="69">
        <v>0.6</v>
      </c>
      <c r="M181" s="69">
        <v>3.2</v>
      </c>
      <c r="N181" s="69" t="s">
        <v>151</v>
      </c>
      <c r="O181" s="69">
        <f t="shared" si="5"/>
        <v>2.4960000000000004</v>
      </c>
      <c r="P181" s="69">
        <v>96</v>
      </c>
      <c r="Q181" s="69">
        <f t="shared" si="4"/>
        <v>93.600000000000023</v>
      </c>
    </row>
    <row r="182" spans="5:21" x14ac:dyDescent="0.25">
      <c r="E182" s="69">
        <v>176</v>
      </c>
      <c r="F182" s="69" t="s">
        <v>146</v>
      </c>
      <c r="G182" s="69" t="s">
        <v>147</v>
      </c>
      <c r="H182" s="69" t="s">
        <v>148</v>
      </c>
      <c r="I182" s="69" t="s">
        <v>149</v>
      </c>
      <c r="J182" s="69" t="s">
        <v>150</v>
      </c>
      <c r="K182" s="69">
        <v>1.3</v>
      </c>
      <c r="L182" s="69">
        <v>0.6</v>
      </c>
      <c r="M182" s="69">
        <v>3.2</v>
      </c>
      <c r="N182" s="69" t="s">
        <v>151</v>
      </c>
      <c r="O182" s="69">
        <f t="shared" si="5"/>
        <v>2.4960000000000004</v>
      </c>
      <c r="P182" s="69">
        <v>100</v>
      </c>
      <c r="Q182" s="69">
        <f t="shared" si="4"/>
        <v>89.856000000000023</v>
      </c>
    </row>
    <row r="183" spans="5:21" x14ac:dyDescent="0.25">
      <c r="E183" s="69">
        <v>177</v>
      </c>
      <c r="F183" s="69" t="s">
        <v>146</v>
      </c>
      <c r="G183" s="69" t="s">
        <v>147</v>
      </c>
      <c r="H183" s="69" t="s">
        <v>148</v>
      </c>
      <c r="I183" s="69" t="s">
        <v>149</v>
      </c>
      <c r="J183" s="69" t="s">
        <v>150</v>
      </c>
      <c r="K183" s="69">
        <v>1.3</v>
      </c>
      <c r="L183" s="69">
        <v>0.6</v>
      </c>
      <c r="M183" s="69">
        <v>3.2</v>
      </c>
      <c r="N183" s="69" t="s">
        <v>151</v>
      </c>
      <c r="O183" s="69">
        <f t="shared" si="5"/>
        <v>2.4960000000000004</v>
      </c>
      <c r="P183" s="69">
        <v>1087</v>
      </c>
      <c r="Q183" s="69">
        <f t="shared" si="4"/>
        <v>8.266421343146277</v>
      </c>
    </row>
    <row r="184" spans="5:21" x14ac:dyDescent="0.25">
      <c r="E184" s="69">
        <v>178</v>
      </c>
      <c r="F184" s="69" t="s">
        <v>146</v>
      </c>
      <c r="G184" s="69" t="s">
        <v>147</v>
      </c>
      <c r="H184" s="69" t="s">
        <v>148</v>
      </c>
      <c r="I184" s="69" t="s">
        <v>149</v>
      </c>
      <c r="J184" s="69" t="s">
        <v>150</v>
      </c>
      <c r="K184" s="69">
        <v>1.3</v>
      </c>
      <c r="L184" s="69">
        <v>0.6</v>
      </c>
      <c r="M184" s="69">
        <v>3.2</v>
      </c>
      <c r="N184" s="69" t="s">
        <v>151</v>
      </c>
      <c r="O184" s="69">
        <f t="shared" si="5"/>
        <v>2.4960000000000004</v>
      </c>
      <c r="P184" s="69">
        <v>94</v>
      </c>
      <c r="Q184" s="69">
        <f t="shared" si="4"/>
        <v>95.591489361702145</v>
      </c>
    </row>
    <row r="185" spans="5:21" x14ac:dyDescent="0.25">
      <c r="E185" s="69">
        <v>179</v>
      </c>
      <c r="F185" s="69" t="s">
        <v>146</v>
      </c>
      <c r="G185" s="69" t="s">
        <v>147</v>
      </c>
      <c r="H185" s="69" t="s">
        <v>148</v>
      </c>
      <c r="I185" s="69" t="s">
        <v>149</v>
      </c>
      <c r="J185" s="69" t="s">
        <v>150</v>
      </c>
      <c r="K185" s="69">
        <v>1.3</v>
      </c>
      <c r="L185" s="69">
        <v>0.6</v>
      </c>
      <c r="M185" s="69">
        <v>3.2</v>
      </c>
      <c r="N185" s="69" t="s">
        <v>151</v>
      </c>
      <c r="O185" s="69">
        <f t="shared" si="5"/>
        <v>2.4960000000000004</v>
      </c>
      <c r="P185" s="69">
        <v>99</v>
      </c>
      <c r="Q185" s="69">
        <f t="shared" si="4"/>
        <v>90.76363636363638</v>
      </c>
    </row>
    <row r="186" spans="5:21" x14ac:dyDescent="0.25">
      <c r="E186" s="69">
        <v>180</v>
      </c>
      <c r="F186" s="69" t="s">
        <v>146</v>
      </c>
      <c r="G186" s="69" t="s">
        <v>147</v>
      </c>
      <c r="H186" s="69" t="s">
        <v>148</v>
      </c>
      <c r="I186" s="69" t="s">
        <v>149</v>
      </c>
      <c r="J186" s="69" t="s">
        <v>150</v>
      </c>
      <c r="K186" s="69">
        <v>1.3</v>
      </c>
      <c r="L186" s="69">
        <v>0.6</v>
      </c>
      <c r="M186" s="69">
        <v>3.2</v>
      </c>
      <c r="N186" s="69" t="s">
        <v>151</v>
      </c>
      <c r="O186" s="69">
        <f t="shared" si="5"/>
        <v>2.4960000000000004</v>
      </c>
      <c r="P186" s="69">
        <v>108</v>
      </c>
      <c r="Q186" s="69">
        <f t="shared" si="4"/>
        <v>83.200000000000017</v>
      </c>
    </row>
    <row r="187" spans="5:21" x14ac:dyDescent="0.25">
      <c r="E187" s="69">
        <v>181</v>
      </c>
      <c r="F187" s="69" t="s">
        <v>146</v>
      </c>
      <c r="G187" s="69" t="s">
        <v>147</v>
      </c>
      <c r="H187" s="69" t="s">
        <v>148</v>
      </c>
      <c r="I187" s="69" t="s">
        <v>149</v>
      </c>
      <c r="J187" s="69" t="s">
        <v>150</v>
      </c>
      <c r="K187" s="69">
        <v>1.3</v>
      </c>
      <c r="L187" s="69">
        <v>0.6</v>
      </c>
      <c r="M187" s="69">
        <v>3.2</v>
      </c>
      <c r="N187" s="69" t="s">
        <v>151</v>
      </c>
      <c r="O187" s="69">
        <f t="shared" si="5"/>
        <v>2.4960000000000004</v>
      </c>
      <c r="P187" s="69">
        <v>116</v>
      </c>
      <c r="Q187" s="69">
        <f t="shared" si="4"/>
        <v>77.462068965517261</v>
      </c>
    </row>
    <row r="188" spans="5:21" x14ac:dyDescent="0.25">
      <c r="E188" s="69">
        <v>182</v>
      </c>
      <c r="F188" s="69" t="s">
        <v>146</v>
      </c>
      <c r="G188" s="69" t="s">
        <v>147</v>
      </c>
      <c r="H188" s="69" t="s">
        <v>148</v>
      </c>
      <c r="I188" s="69" t="s">
        <v>149</v>
      </c>
      <c r="J188" s="69" t="s">
        <v>150</v>
      </c>
      <c r="K188" s="69">
        <v>1.3</v>
      </c>
      <c r="L188" s="69">
        <v>0.6</v>
      </c>
      <c r="M188" s="69">
        <v>3.2</v>
      </c>
      <c r="N188" s="69" t="s">
        <v>151</v>
      </c>
      <c r="O188" s="69">
        <f t="shared" si="5"/>
        <v>2.4960000000000004</v>
      </c>
      <c r="P188" s="69">
        <v>108</v>
      </c>
      <c r="Q188" s="69">
        <f t="shared" si="4"/>
        <v>83.200000000000017</v>
      </c>
    </row>
    <row r="189" spans="5:21" x14ac:dyDescent="0.25">
      <c r="E189" s="69">
        <v>183</v>
      </c>
      <c r="F189" s="69" t="s">
        <v>146</v>
      </c>
      <c r="G189" s="69" t="s">
        <v>147</v>
      </c>
      <c r="H189" s="69" t="s">
        <v>148</v>
      </c>
      <c r="I189" s="69" t="s">
        <v>149</v>
      </c>
      <c r="J189" s="69" t="s">
        <v>150</v>
      </c>
      <c r="K189" s="69">
        <v>1.3</v>
      </c>
      <c r="L189" s="69">
        <v>0.6</v>
      </c>
      <c r="M189" s="69">
        <v>3.2</v>
      </c>
      <c r="N189" s="69" t="s">
        <v>151</v>
      </c>
      <c r="O189" s="69">
        <f t="shared" si="5"/>
        <v>2.4960000000000004</v>
      </c>
      <c r="P189" s="69">
        <v>574</v>
      </c>
      <c r="Q189" s="69">
        <f t="shared" si="4"/>
        <v>15.654355400696868</v>
      </c>
      <c r="T189" s="1">
        <v>493</v>
      </c>
    </row>
    <row r="190" spans="5:21" x14ac:dyDescent="0.25">
      <c r="E190" s="69">
        <v>184</v>
      </c>
      <c r="F190" s="69" t="s">
        <v>146</v>
      </c>
      <c r="G190" s="69" t="s">
        <v>147</v>
      </c>
      <c r="H190" s="69" t="s">
        <v>148</v>
      </c>
      <c r="I190" s="69" t="s">
        <v>149</v>
      </c>
      <c r="J190" s="69" t="s">
        <v>150</v>
      </c>
      <c r="K190" s="69">
        <v>1.3</v>
      </c>
      <c r="L190" s="69">
        <v>0.6</v>
      </c>
      <c r="M190" s="69">
        <v>3.2</v>
      </c>
      <c r="N190" s="69" t="s">
        <v>151</v>
      </c>
      <c r="O190" s="69">
        <f t="shared" si="5"/>
        <v>2.4960000000000004</v>
      </c>
      <c r="P190" s="69">
        <v>94</v>
      </c>
      <c r="Q190" s="69">
        <f t="shared" si="4"/>
        <v>95.591489361702145</v>
      </c>
    </row>
    <row r="191" spans="5:21" x14ac:dyDescent="0.25">
      <c r="E191" s="69">
        <v>185</v>
      </c>
      <c r="F191" s="69" t="s">
        <v>146</v>
      </c>
      <c r="G191" s="69" t="s">
        <v>147</v>
      </c>
      <c r="H191" s="69" t="s">
        <v>148</v>
      </c>
      <c r="I191" s="69" t="s">
        <v>149</v>
      </c>
      <c r="J191" s="69" t="s">
        <v>150</v>
      </c>
      <c r="K191" s="69">
        <v>1.3</v>
      </c>
      <c r="L191" s="69">
        <v>0.6</v>
      </c>
      <c r="M191" s="69">
        <v>3.2</v>
      </c>
      <c r="N191" s="69" t="s">
        <v>151</v>
      </c>
      <c r="O191" s="69">
        <f t="shared" si="5"/>
        <v>2.4960000000000004</v>
      </c>
      <c r="P191" s="69">
        <v>97</v>
      </c>
      <c r="Q191" s="69">
        <f t="shared" si="4"/>
        <v>92.635051546391779</v>
      </c>
    </row>
    <row r="192" spans="5:21" x14ac:dyDescent="0.25">
      <c r="E192" s="69">
        <v>186</v>
      </c>
      <c r="F192" s="69" t="s">
        <v>146</v>
      </c>
      <c r="G192" s="69" t="s">
        <v>147</v>
      </c>
      <c r="H192" s="69" t="s">
        <v>148</v>
      </c>
      <c r="I192" s="69" t="s">
        <v>149</v>
      </c>
      <c r="J192" s="69" t="s">
        <v>150</v>
      </c>
      <c r="K192" s="69">
        <v>1.3</v>
      </c>
      <c r="L192" s="69">
        <v>0.6</v>
      </c>
      <c r="M192" s="69">
        <v>3.2</v>
      </c>
      <c r="N192" s="69" t="s">
        <v>151</v>
      </c>
      <c r="O192" s="69">
        <f t="shared" si="5"/>
        <v>2.4960000000000004</v>
      </c>
      <c r="P192" s="69">
        <v>109</v>
      </c>
      <c r="Q192" s="69">
        <f t="shared" si="4"/>
        <v>82.436697247706448</v>
      </c>
    </row>
    <row r="193" spans="5:17" x14ac:dyDescent="0.25">
      <c r="E193" s="69">
        <v>187</v>
      </c>
      <c r="F193" s="69" t="s">
        <v>146</v>
      </c>
      <c r="G193" s="69" t="s">
        <v>147</v>
      </c>
      <c r="H193" s="69" t="s">
        <v>148</v>
      </c>
      <c r="I193" s="69" t="s">
        <v>149</v>
      </c>
      <c r="J193" s="69" t="s">
        <v>150</v>
      </c>
      <c r="K193" s="69">
        <v>1.3</v>
      </c>
      <c r="L193" s="69">
        <v>0.6</v>
      </c>
      <c r="M193" s="69">
        <v>3.2</v>
      </c>
      <c r="N193" s="69" t="s">
        <v>151</v>
      </c>
      <c r="O193" s="69">
        <f t="shared" si="5"/>
        <v>2.4960000000000004</v>
      </c>
      <c r="P193" s="69">
        <v>73</v>
      </c>
      <c r="Q193" s="69">
        <f t="shared" si="4"/>
        <v>123.09041095890414</v>
      </c>
    </row>
    <row r="194" spans="5:17" x14ac:dyDescent="0.25">
      <c r="E194" s="69">
        <v>188</v>
      </c>
      <c r="F194" s="69" t="s">
        <v>146</v>
      </c>
      <c r="G194" s="69" t="s">
        <v>147</v>
      </c>
      <c r="H194" s="69" t="s">
        <v>148</v>
      </c>
      <c r="I194" s="69" t="s">
        <v>149</v>
      </c>
      <c r="J194" s="69" t="s">
        <v>150</v>
      </c>
      <c r="K194" s="69">
        <v>1.3</v>
      </c>
      <c r="L194" s="69">
        <v>0.6</v>
      </c>
      <c r="M194" s="69">
        <v>3.2</v>
      </c>
      <c r="N194" s="69" t="s">
        <v>151</v>
      </c>
      <c r="O194" s="69">
        <f t="shared" si="5"/>
        <v>2.4960000000000004</v>
      </c>
      <c r="P194" s="69">
        <v>110</v>
      </c>
      <c r="Q194" s="69">
        <f t="shared" si="4"/>
        <v>81.687272727272742</v>
      </c>
    </row>
    <row r="195" spans="5:17" x14ac:dyDescent="0.25">
      <c r="E195" s="69">
        <v>189</v>
      </c>
      <c r="F195" s="69" t="s">
        <v>146</v>
      </c>
      <c r="G195" s="69" t="s">
        <v>147</v>
      </c>
      <c r="H195" s="69" t="s">
        <v>148</v>
      </c>
      <c r="I195" s="69" t="s">
        <v>149</v>
      </c>
      <c r="J195" s="69" t="s">
        <v>150</v>
      </c>
      <c r="K195" s="69">
        <v>1.3</v>
      </c>
      <c r="L195" s="69">
        <v>0.6</v>
      </c>
      <c r="M195" s="69">
        <v>3.2</v>
      </c>
      <c r="N195" s="69" t="s">
        <v>151</v>
      </c>
      <c r="O195" s="69">
        <f t="shared" si="5"/>
        <v>2.4960000000000004</v>
      </c>
      <c r="P195" s="69">
        <v>117</v>
      </c>
      <c r="Q195" s="69">
        <f t="shared" si="4"/>
        <v>76.800000000000026</v>
      </c>
    </row>
    <row r="196" spans="5:17" x14ac:dyDescent="0.25">
      <c r="E196" s="69">
        <v>190</v>
      </c>
      <c r="F196" s="69" t="s">
        <v>146</v>
      </c>
      <c r="G196" s="69" t="s">
        <v>147</v>
      </c>
      <c r="H196" s="69" t="s">
        <v>148</v>
      </c>
      <c r="I196" s="69" t="s">
        <v>149</v>
      </c>
      <c r="J196" s="69" t="s">
        <v>150</v>
      </c>
      <c r="K196" s="69">
        <v>1.3</v>
      </c>
      <c r="L196" s="69">
        <v>0.6</v>
      </c>
      <c r="M196" s="69">
        <v>3.2</v>
      </c>
      <c r="N196" s="69" t="s">
        <v>151</v>
      </c>
      <c r="O196" s="69">
        <f t="shared" si="5"/>
        <v>2.4960000000000004</v>
      </c>
      <c r="P196" s="69">
        <v>84</v>
      </c>
      <c r="Q196" s="69">
        <f t="shared" si="4"/>
        <v>106.9714285714286</v>
      </c>
    </row>
    <row r="197" spans="5:17" x14ac:dyDescent="0.25">
      <c r="E197" s="69">
        <v>191</v>
      </c>
      <c r="F197" s="69" t="s">
        <v>146</v>
      </c>
      <c r="G197" s="69" t="s">
        <v>147</v>
      </c>
      <c r="H197" s="69" t="s">
        <v>148</v>
      </c>
      <c r="I197" s="69" t="s">
        <v>149</v>
      </c>
      <c r="J197" s="69" t="s">
        <v>150</v>
      </c>
      <c r="K197" s="69">
        <v>1.3</v>
      </c>
      <c r="L197" s="69">
        <v>0.6</v>
      </c>
      <c r="M197" s="69">
        <v>3.2</v>
      </c>
      <c r="N197" s="69" t="s">
        <v>151</v>
      </c>
      <c r="O197" s="69">
        <f t="shared" si="5"/>
        <v>2.4960000000000004</v>
      </c>
      <c r="P197" s="69">
        <v>75</v>
      </c>
      <c r="Q197" s="69">
        <f t="shared" si="4"/>
        <v>119.80800000000004</v>
      </c>
    </row>
    <row r="198" spans="5:17" x14ac:dyDescent="0.25">
      <c r="E198" s="69">
        <v>192</v>
      </c>
      <c r="F198" s="69" t="s">
        <v>146</v>
      </c>
      <c r="G198" s="69" t="s">
        <v>147</v>
      </c>
      <c r="H198" s="69" t="s">
        <v>148</v>
      </c>
      <c r="I198" s="69" t="s">
        <v>149</v>
      </c>
      <c r="J198" s="69" t="s">
        <v>150</v>
      </c>
      <c r="K198" s="69">
        <v>1.3</v>
      </c>
      <c r="L198" s="69">
        <v>0.6</v>
      </c>
      <c r="M198" s="69">
        <v>3.2</v>
      </c>
      <c r="N198" s="69" t="s">
        <v>151</v>
      </c>
      <c r="O198" s="69">
        <f t="shared" si="5"/>
        <v>2.4960000000000004</v>
      </c>
      <c r="P198" s="69">
        <v>96</v>
      </c>
      <c r="Q198" s="69">
        <f t="shared" si="4"/>
        <v>93.600000000000023</v>
      </c>
    </row>
    <row r="199" spans="5:17" x14ac:dyDescent="0.25">
      <c r="E199" s="69">
        <v>193</v>
      </c>
      <c r="F199" s="69" t="s">
        <v>146</v>
      </c>
      <c r="G199" s="69" t="s">
        <v>147</v>
      </c>
      <c r="H199" s="69" t="s">
        <v>148</v>
      </c>
      <c r="I199" s="69" t="s">
        <v>149</v>
      </c>
      <c r="J199" s="69" t="s">
        <v>150</v>
      </c>
      <c r="K199" s="69">
        <v>1.3</v>
      </c>
      <c r="L199" s="69">
        <v>0.6</v>
      </c>
      <c r="M199" s="69">
        <v>3.2</v>
      </c>
      <c r="N199" s="69" t="s">
        <v>151</v>
      </c>
      <c r="O199" s="69">
        <f t="shared" si="5"/>
        <v>2.4960000000000004</v>
      </c>
      <c r="P199" s="69">
        <v>107</v>
      </c>
      <c r="Q199" s="69">
        <f t="shared" ref="Q199:Q249" si="6">O199*3600/P199</f>
        <v>83.97757009345797</v>
      </c>
    </row>
    <row r="200" spans="5:17" x14ac:dyDescent="0.25">
      <c r="E200" s="69">
        <v>194</v>
      </c>
      <c r="F200" s="69" t="s">
        <v>146</v>
      </c>
      <c r="G200" s="69" t="s">
        <v>147</v>
      </c>
      <c r="H200" s="69" t="s">
        <v>148</v>
      </c>
      <c r="I200" s="69" t="s">
        <v>149</v>
      </c>
      <c r="J200" s="69" t="s">
        <v>150</v>
      </c>
      <c r="K200" s="69">
        <v>1.3</v>
      </c>
      <c r="L200" s="69">
        <v>0.6</v>
      </c>
      <c r="M200" s="69">
        <v>3.2</v>
      </c>
      <c r="N200" s="69" t="s">
        <v>151</v>
      </c>
      <c r="O200" s="69">
        <f t="shared" ref="O200:O249" si="7">K200*L200*M200</f>
        <v>2.4960000000000004</v>
      </c>
      <c r="P200" s="69">
        <v>112</v>
      </c>
      <c r="Q200" s="69">
        <f t="shared" si="6"/>
        <v>80.228571428571442</v>
      </c>
    </row>
    <row r="201" spans="5:17" x14ac:dyDescent="0.25">
      <c r="E201" s="69">
        <v>195</v>
      </c>
      <c r="F201" s="69" t="s">
        <v>146</v>
      </c>
      <c r="G201" s="69" t="s">
        <v>147</v>
      </c>
      <c r="H201" s="69" t="s">
        <v>148</v>
      </c>
      <c r="I201" s="69" t="s">
        <v>149</v>
      </c>
      <c r="J201" s="69" t="s">
        <v>150</v>
      </c>
      <c r="K201" s="69">
        <v>1.3</v>
      </c>
      <c r="L201" s="69">
        <v>0.6</v>
      </c>
      <c r="M201" s="69">
        <v>3.2</v>
      </c>
      <c r="N201" s="69" t="s">
        <v>151</v>
      </c>
      <c r="O201" s="69">
        <f t="shared" si="7"/>
        <v>2.4960000000000004</v>
      </c>
      <c r="P201" s="69">
        <v>91</v>
      </c>
      <c r="Q201" s="69">
        <f t="shared" si="6"/>
        <v>98.742857142857162</v>
      </c>
    </row>
    <row r="202" spans="5:17" x14ac:dyDescent="0.25">
      <c r="E202" s="69">
        <v>196</v>
      </c>
      <c r="F202" s="69" t="s">
        <v>146</v>
      </c>
      <c r="G202" s="69" t="s">
        <v>147</v>
      </c>
      <c r="H202" s="69" t="s">
        <v>148</v>
      </c>
      <c r="I202" s="69" t="s">
        <v>149</v>
      </c>
      <c r="J202" s="69" t="s">
        <v>150</v>
      </c>
      <c r="K202" s="69">
        <v>1.3</v>
      </c>
      <c r="L202" s="69">
        <v>0.6</v>
      </c>
      <c r="M202" s="69">
        <v>3.2</v>
      </c>
      <c r="N202" s="69" t="s">
        <v>151</v>
      </c>
      <c r="O202" s="69">
        <f t="shared" si="7"/>
        <v>2.4960000000000004</v>
      </c>
      <c r="P202" s="69">
        <v>97</v>
      </c>
      <c r="Q202" s="69">
        <f t="shared" si="6"/>
        <v>92.635051546391779</v>
      </c>
    </row>
    <row r="203" spans="5:17" x14ac:dyDescent="0.25">
      <c r="E203" s="69">
        <v>197</v>
      </c>
      <c r="F203" s="69" t="s">
        <v>146</v>
      </c>
      <c r="G203" s="69" t="s">
        <v>147</v>
      </c>
      <c r="H203" s="69" t="s">
        <v>148</v>
      </c>
      <c r="I203" s="69" t="s">
        <v>149</v>
      </c>
      <c r="J203" s="69" t="s">
        <v>150</v>
      </c>
      <c r="K203" s="69">
        <v>1.3</v>
      </c>
      <c r="L203" s="69">
        <v>0.6</v>
      </c>
      <c r="M203" s="69">
        <v>3.2</v>
      </c>
      <c r="N203" s="69" t="s">
        <v>151</v>
      </c>
      <c r="O203" s="69">
        <f t="shared" si="7"/>
        <v>2.4960000000000004</v>
      </c>
      <c r="P203" s="69">
        <v>84</v>
      </c>
      <c r="Q203" s="69">
        <f t="shared" si="6"/>
        <v>106.9714285714286</v>
      </c>
    </row>
    <row r="204" spans="5:17" x14ac:dyDescent="0.25">
      <c r="E204" s="69">
        <v>198</v>
      </c>
      <c r="F204" s="69" t="s">
        <v>146</v>
      </c>
      <c r="G204" s="69" t="s">
        <v>147</v>
      </c>
      <c r="H204" s="69" t="s">
        <v>148</v>
      </c>
      <c r="I204" s="69" t="s">
        <v>149</v>
      </c>
      <c r="J204" s="69" t="s">
        <v>150</v>
      </c>
      <c r="K204" s="69">
        <v>1.3</v>
      </c>
      <c r="L204" s="69">
        <v>0.6</v>
      </c>
      <c r="M204" s="69">
        <v>3.2</v>
      </c>
      <c r="N204" s="69" t="s">
        <v>151</v>
      </c>
      <c r="O204" s="69">
        <f t="shared" si="7"/>
        <v>2.4960000000000004</v>
      </c>
      <c r="P204" s="69">
        <v>122</v>
      </c>
      <c r="Q204" s="69">
        <f t="shared" si="6"/>
        <v>73.652459016393465</v>
      </c>
    </row>
    <row r="205" spans="5:17" x14ac:dyDescent="0.25">
      <c r="E205" s="69">
        <v>199</v>
      </c>
      <c r="F205" s="69" t="s">
        <v>146</v>
      </c>
      <c r="G205" s="69" t="s">
        <v>147</v>
      </c>
      <c r="H205" s="69" t="s">
        <v>148</v>
      </c>
      <c r="I205" s="69" t="s">
        <v>149</v>
      </c>
      <c r="J205" s="69" t="s">
        <v>150</v>
      </c>
      <c r="K205" s="69">
        <v>1.3</v>
      </c>
      <c r="L205" s="69">
        <v>0.6</v>
      </c>
      <c r="M205" s="69">
        <v>3.2</v>
      </c>
      <c r="N205" s="69" t="s">
        <v>151</v>
      </c>
      <c r="O205" s="69">
        <f t="shared" si="7"/>
        <v>2.4960000000000004</v>
      </c>
      <c r="P205" s="69">
        <v>107</v>
      </c>
      <c r="Q205" s="69">
        <f t="shared" si="6"/>
        <v>83.97757009345797</v>
      </c>
    </row>
    <row r="206" spans="5:17" x14ac:dyDescent="0.25">
      <c r="E206" s="69">
        <v>200</v>
      </c>
      <c r="F206" s="69" t="s">
        <v>146</v>
      </c>
      <c r="G206" s="69" t="s">
        <v>147</v>
      </c>
      <c r="H206" s="69" t="s">
        <v>148</v>
      </c>
      <c r="I206" s="69" t="s">
        <v>149</v>
      </c>
      <c r="J206" s="69" t="s">
        <v>150</v>
      </c>
      <c r="K206" s="69">
        <v>1.3</v>
      </c>
      <c r="L206" s="69">
        <v>0.6</v>
      </c>
      <c r="M206" s="69">
        <v>3.2</v>
      </c>
      <c r="N206" s="69" t="s">
        <v>151</v>
      </c>
      <c r="O206" s="69">
        <f t="shared" si="7"/>
        <v>2.4960000000000004</v>
      </c>
      <c r="P206" s="69">
        <v>101</v>
      </c>
      <c r="Q206" s="69">
        <f t="shared" si="6"/>
        <v>88.966336633663389</v>
      </c>
    </row>
    <row r="207" spans="5:17" x14ac:dyDescent="0.25">
      <c r="E207" s="69">
        <v>201</v>
      </c>
      <c r="F207" s="69" t="s">
        <v>146</v>
      </c>
      <c r="G207" s="69" t="s">
        <v>147</v>
      </c>
      <c r="H207" s="69" t="s">
        <v>148</v>
      </c>
      <c r="I207" s="69" t="s">
        <v>149</v>
      </c>
      <c r="J207" s="69" t="s">
        <v>150</v>
      </c>
      <c r="K207" s="69">
        <v>1.3</v>
      </c>
      <c r="L207" s="69">
        <v>0.6</v>
      </c>
      <c r="M207" s="69">
        <v>3.2</v>
      </c>
      <c r="N207" s="69" t="s">
        <v>151</v>
      </c>
      <c r="O207" s="69">
        <f t="shared" si="7"/>
        <v>2.4960000000000004</v>
      </c>
      <c r="P207" s="69">
        <v>95</v>
      </c>
      <c r="Q207" s="69">
        <f t="shared" si="6"/>
        <v>94.585263157894758</v>
      </c>
    </row>
    <row r="208" spans="5:17" x14ac:dyDescent="0.25">
      <c r="E208" s="69">
        <v>202</v>
      </c>
      <c r="F208" s="69" t="s">
        <v>146</v>
      </c>
      <c r="G208" s="69" t="s">
        <v>147</v>
      </c>
      <c r="H208" s="69" t="s">
        <v>148</v>
      </c>
      <c r="I208" s="69" t="s">
        <v>149</v>
      </c>
      <c r="J208" s="69" t="s">
        <v>150</v>
      </c>
      <c r="K208" s="69">
        <v>1.3</v>
      </c>
      <c r="L208" s="69">
        <v>0.6</v>
      </c>
      <c r="M208" s="69">
        <v>3.2</v>
      </c>
      <c r="N208" s="69" t="s">
        <v>151</v>
      </c>
      <c r="O208" s="69">
        <f t="shared" si="7"/>
        <v>2.4960000000000004</v>
      </c>
      <c r="P208" s="69">
        <v>82</v>
      </c>
      <c r="Q208" s="69">
        <f t="shared" si="6"/>
        <v>109.58048780487808</v>
      </c>
    </row>
    <row r="209" spans="5:20" x14ac:dyDescent="0.25">
      <c r="E209" s="69">
        <v>203</v>
      </c>
      <c r="F209" s="69" t="s">
        <v>146</v>
      </c>
      <c r="G209" s="69" t="s">
        <v>147</v>
      </c>
      <c r="H209" s="69" t="s">
        <v>148</v>
      </c>
      <c r="I209" s="69" t="s">
        <v>149</v>
      </c>
      <c r="J209" s="69" t="s">
        <v>150</v>
      </c>
      <c r="K209" s="69">
        <v>1.3</v>
      </c>
      <c r="L209" s="69">
        <v>0.6</v>
      </c>
      <c r="M209" s="69">
        <v>3.2</v>
      </c>
      <c r="N209" s="69" t="s">
        <v>151</v>
      </c>
      <c r="O209" s="69">
        <f t="shared" si="7"/>
        <v>2.4960000000000004</v>
      </c>
      <c r="P209" s="69">
        <v>123</v>
      </c>
      <c r="Q209" s="69">
        <f t="shared" si="6"/>
        <v>73.053658536585388</v>
      </c>
      <c r="T209" s="1">
        <v>643</v>
      </c>
    </row>
    <row r="210" spans="5:20" x14ac:dyDescent="0.25">
      <c r="E210" s="69">
        <v>204</v>
      </c>
      <c r="F210" s="69" t="s">
        <v>146</v>
      </c>
      <c r="G210" s="69" t="s">
        <v>147</v>
      </c>
      <c r="H210" s="69" t="s">
        <v>148</v>
      </c>
      <c r="I210" s="69" t="s">
        <v>149</v>
      </c>
      <c r="J210" s="69" t="s">
        <v>150</v>
      </c>
      <c r="K210" s="69">
        <v>1.3</v>
      </c>
      <c r="L210" s="69">
        <v>0.6</v>
      </c>
      <c r="M210" s="69">
        <v>3.2</v>
      </c>
      <c r="N210" s="69" t="s">
        <v>151</v>
      </c>
      <c r="O210" s="69">
        <f t="shared" si="7"/>
        <v>2.4960000000000004</v>
      </c>
      <c r="P210" s="69">
        <v>764</v>
      </c>
      <c r="Q210" s="69">
        <f t="shared" si="6"/>
        <v>11.76125654450262</v>
      </c>
    </row>
    <row r="211" spans="5:20" x14ac:dyDescent="0.25">
      <c r="E211" s="69">
        <v>205</v>
      </c>
      <c r="F211" s="69" t="s">
        <v>146</v>
      </c>
      <c r="G211" s="69" t="s">
        <v>147</v>
      </c>
      <c r="H211" s="69" t="s">
        <v>148</v>
      </c>
      <c r="I211" s="69" t="s">
        <v>149</v>
      </c>
      <c r="J211" s="69" t="s">
        <v>150</v>
      </c>
      <c r="K211" s="69">
        <v>1.3</v>
      </c>
      <c r="L211" s="69">
        <v>0.6</v>
      </c>
      <c r="M211" s="69">
        <v>3.2</v>
      </c>
      <c r="N211" s="69" t="s">
        <v>151</v>
      </c>
      <c r="O211" s="69">
        <f t="shared" si="7"/>
        <v>2.4960000000000004</v>
      </c>
      <c r="P211" s="69">
        <v>104</v>
      </c>
      <c r="Q211" s="69">
        <f t="shared" si="6"/>
        <v>86.40000000000002</v>
      </c>
    </row>
    <row r="212" spans="5:20" x14ac:dyDescent="0.25">
      <c r="E212" s="69">
        <v>206</v>
      </c>
      <c r="F212" s="69" t="s">
        <v>146</v>
      </c>
      <c r="G212" s="69" t="s">
        <v>147</v>
      </c>
      <c r="H212" s="69" t="s">
        <v>148</v>
      </c>
      <c r="I212" s="69" t="s">
        <v>149</v>
      </c>
      <c r="J212" s="69" t="s">
        <v>150</v>
      </c>
      <c r="K212" s="69">
        <v>1.3</v>
      </c>
      <c r="L212" s="69">
        <v>0.6</v>
      </c>
      <c r="M212" s="69">
        <v>3.2</v>
      </c>
      <c r="N212" s="69" t="s">
        <v>151</v>
      </c>
      <c r="O212" s="69">
        <f t="shared" si="7"/>
        <v>2.4960000000000004</v>
      </c>
      <c r="P212" s="69">
        <v>99</v>
      </c>
      <c r="Q212" s="69">
        <f t="shared" si="6"/>
        <v>90.76363636363638</v>
      </c>
    </row>
    <row r="213" spans="5:20" x14ac:dyDescent="0.25">
      <c r="E213" s="69">
        <v>207</v>
      </c>
      <c r="F213" s="69" t="s">
        <v>146</v>
      </c>
      <c r="G213" s="69" t="s">
        <v>147</v>
      </c>
      <c r="H213" s="69" t="s">
        <v>148</v>
      </c>
      <c r="I213" s="69" t="s">
        <v>149</v>
      </c>
      <c r="J213" s="69" t="s">
        <v>150</v>
      </c>
      <c r="K213" s="69">
        <v>1.3</v>
      </c>
      <c r="L213" s="69">
        <v>0.6</v>
      </c>
      <c r="M213" s="69">
        <v>3.2</v>
      </c>
      <c r="N213" s="69" t="s">
        <v>151</v>
      </c>
      <c r="O213" s="69">
        <f t="shared" si="7"/>
        <v>2.4960000000000004</v>
      </c>
      <c r="P213" s="69">
        <v>91</v>
      </c>
      <c r="Q213" s="69">
        <f t="shared" si="6"/>
        <v>98.742857142857162</v>
      </c>
    </row>
    <row r="214" spans="5:20" x14ac:dyDescent="0.25">
      <c r="E214" s="69">
        <v>208</v>
      </c>
      <c r="F214" s="69" t="s">
        <v>146</v>
      </c>
      <c r="G214" s="69" t="s">
        <v>147</v>
      </c>
      <c r="H214" s="69" t="s">
        <v>148</v>
      </c>
      <c r="I214" s="69" t="s">
        <v>149</v>
      </c>
      <c r="J214" s="69" t="s">
        <v>150</v>
      </c>
      <c r="K214" s="69">
        <v>1.3</v>
      </c>
      <c r="L214" s="69">
        <v>0.6</v>
      </c>
      <c r="M214" s="69">
        <v>3.2</v>
      </c>
      <c r="N214" s="69" t="s">
        <v>151</v>
      </c>
      <c r="O214" s="69">
        <f t="shared" si="7"/>
        <v>2.4960000000000004</v>
      </c>
      <c r="P214" s="69">
        <v>93</v>
      </c>
      <c r="Q214" s="69">
        <f t="shared" si="6"/>
        <v>96.619354838709697</v>
      </c>
    </row>
    <row r="215" spans="5:20" x14ac:dyDescent="0.25">
      <c r="E215" s="69">
        <v>209</v>
      </c>
      <c r="F215" s="69" t="s">
        <v>146</v>
      </c>
      <c r="G215" s="69" t="s">
        <v>147</v>
      </c>
      <c r="H215" s="69" t="s">
        <v>148</v>
      </c>
      <c r="I215" s="69" t="s">
        <v>149</v>
      </c>
      <c r="J215" s="69" t="s">
        <v>150</v>
      </c>
      <c r="K215" s="69">
        <v>1.3</v>
      </c>
      <c r="L215" s="69">
        <v>0.6</v>
      </c>
      <c r="M215" s="69">
        <v>3.2</v>
      </c>
      <c r="N215" s="69" t="s">
        <v>151</v>
      </c>
      <c r="O215" s="69">
        <f t="shared" si="7"/>
        <v>2.4960000000000004</v>
      </c>
      <c r="P215" s="69">
        <v>105</v>
      </c>
      <c r="Q215" s="69">
        <f t="shared" si="6"/>
        <v>85.577142857142874</v>
      </c>
    </row>
    <row r="216" spans="5:20" x14ac:dyDescent="0.25">
      <c r="E216" s="69">
        <v>210</v>
      </c>
      <c r="F216" s="69" t="s">
        <v>146</v>
      </c>
      <c r="G216" s="69" t="s">
        <v>147</v>
      </c>
      <c r="H216" s="69" t="s">
        <v>148</v>
      </c>
      <c r="I216" s="69" t="s">
        <v>149</v>
      </c>
      <c r="J216" s="69" t="s">
        <v>150</v>
      </c>
      <c r="K216" s="69">
        <v>1.3</v>
      </c>
      <c r="L216" s="69">
        <v>0.6</v>
      </c>
      <c r="M216" s="69">
        <v>3.2</v>
      </c>
      <c r="N216" s="69" t="s">
        <v>151</v>
      </c>
      <c r="O216" s="69">
        <f t="shared" si="7"/>
        <v>2.4960000000000004</v>
      </c>
      <c r="P216" s="69">
        <v>119</v>
      </c>
      <c r="Q216" s="69">
        <f t="shared" si="6"/>
        <v>75.509243697479008</v>
      </c>
    </row>
    <row r="217" spans="5:20" x14ac:dyDescent="0.25">
      <c r="E217" s="69">
        <v>211</v>
      </c>
      <c r="F217" s="69" t="s">
        <v>146</v>
      </c>
      <c r="G217" s="69" t="s">
        <v>147</v>
      </c>
      <c r="H217" s="69" t="s">
        <v>148</v>
      </c>
      <c r="I217" s="69" t="s">
        <v>149</v>
      </c>
      <c r="J217" s="69" t="s">
        <v>150</v>
      </c>
      <c r="K217" s="69">
        <v>1.3</v>
      </c>
      <c r="L217" s="69">
        <v>0.6</v>
      </c>
      <c r="M217" s="69">
        <v>3.2</v>
      </c>
      <c r="N217" s="69" t="s">
        <v>151</v>
      </c>
      <c r="O217" s="69">
        <f t="shared" si="7"/>
        <v>2.4960000000000004</v>
      </c>
      <c r="P217" s="69">
        <v>97</v>
      </c>
      <c r="Q217" s="69">
        <f t="shared" si="6"/>
        <v>92.635051546391779</v>
      </c>
    </row>
    <row r="218" spans="5:20" x14ac:dyDescent="0.25">
      <c r="E218" s="69">
        <v>212</v>
      </c>
      <c r="F218" s="69" t="s">
        <v>146</v>
      </c>
      <c r="G218" s="69" t="s">
        <v>147</v>
      </c>
      <c r="H218" s="69" t="s">
        <v>148</v>
      </c>
      <c r="I218" s="69" t="s">
        <v>149</v>
      </c>
      <c r="J218" s="69" t="s">
        <v>150</v>
      </c>
      <c r="K218" s="69">
        <v>1.3</v>
      </c>
      <c r="L218" s="69">
        <v>0.6</v>
      </c>
      <c r="M218" s="69">
        <v>3.2</v>
      </c>
      <c r="N218" s="69" t="s">
        <v>151</v>
      </c>
      <c r="O218" s="69">
        <f t="shared" si="7"/>
        <v>2.4960000000000004</v>
      </c>
      <c r="P218" s="69">
        <v>92</v>
      </c>
      <c r="Q218" s="69">
        <f t="shared" si="6"/>
        <v>97.669565217391323</v>
      </c>
    </row>
    <row r="219" spans="5:20" x14ac:dyDescent="0.25">
      <c r="E219" s="69">
        <v>213</v>
      </c>
      <c r="F219" s="69" t="s">
        <v>146</v>
      </c>
      <c r="G219" s="69" t="s">
        <v>147</v>
      </c>
      <c r="H219" s="69" t="s">
        <v>148</v>
      </c>
      <c r="I219" s="69" t="s">
        <v>149</v>
      </c>
      <c r="J219" s="69" t="s">
        <v>150</v>
      </c>
      <c r="K219" s="69">
        <v>1.3</v>
      </c>
      <c r="L219" s="69">
        <v>0.6</v>
      </c>
      <c r="M219" s="69">
        <v>3.2</v>
      </c>
      <c r="N219" s="69" t="s">
        <v>151</v>
      </c>
      <c r="O219" s="69">
        <f t="shared" si="7"/>
        <v>2.4960000000000004</v>
      </c>
      <c r="P219" s="69">
        <v>116</v>
      </c>
      <c r="Q219" s="69">
        <f t="shared" si="6"/>
        <v>77.462068965517261</v>
      </c>
    </row>
    <row r="220" spans="5:20" x14ac:dyDescent="0.25">
      <c r="E220" s="69">
        <v>214</v>
      </c>
      <c r="F220" s="69" t="s">
        <v>146</v>
      </c>
      <c r="G220" s="69" t="s">
        <v>147</v>
      </c>
      <c r="H220" s="69" t="s">
        <v>148</v>
      </c>
      <c r="I220" s="69" t="s">
        <v>149</v>
      </c>
      <c r="J220" s="69" t="s">
        <v>150</v>
      </c>
      <c r="K220" s="69">
        <v>1.3</v>
      </c>
      <c r="L220" s="69">
        <v>0.6</v>
      </c>
      <c r="M220" s="69">
        <v>3.2</v>
      </c>
      <c r="N220" s="69" t="s">
        <v>151</v>
      </c>
      <c r="O220" s="69">
        <f t="shared" si="7"/>
        <v>2.4960000000000004</v>
      </c>
      <c r="P220" s="69">
        <v>107</v>
      </c>
      <c r="Q220" s="69">
        <f t="shared" si="6"/>
        <v>83.97757009345797</v>
      </c>
    </row>
    <row r="221" spans="5:20" x14ac:dyDescent="0.25">
      <c r="E221" s="69">
        <v>215</v>
      </c>
      <c r="F221" s="69" t="s">
        <v>146</v>
      </c>
      <c r="G221" s="69" t="s">
        <v>147</v>
      </c>
      <c r="H221" s="69" t="s">
        <v>148</v>
      </c>
      <c r="I221" s="69" t="s">
        <v>149</v>
      </c>
      <c r="J221" s="69" t="s">
        <v>150</v>
      </c>
      <c r="K221" s="69">
        <v>1.3</v>
      </c>
      <c r="L221" s="69">
        <v>0.6</v>
      </c>
      <c r="M221" s="69">
        <v>3.2</v>
      </c>
      <c r="N221" s="69" t="s">
        <v>151</v>
      </c>
      <c r="O221" s="69">
        <f t="shared" si="7"/>
        <v>2.4960000000000004</v>
      </c>
      <c r="P221" s="69">
        <v>93</v>
      </c>
      <c r="Q221" s="69">
        <f t="shared" si="6"/>
        <v>96.619354838709697</v>
      </c>
    </row>
    <row r="222" spans="5:20" x14ac:dyDescent="0.25">
      <c r="E222" s="69">
        <v>216</v>
      </c>
      <c r="F222" s="69" t="s">
        <v>146</v>
      </c>
      <c r="G222" s="69" t="s">
        <v>147</v>
      </c>
      <c r="H222" s="69" t="s">
        <v>148</v>
      </c>
      <c r="I222" s="69" t="s">
        <v>149</v>
      </c>
      <c r="J222" s="69" t="s">
        <v>150</v>
      </c>
      <c r="K222" s="69">
        <v>1.3</v>
      </c>
      <c r="L222" s="69">
        <v>0.6</v>
      </c>
      <c r="M222" s="69">
        <v>3.2</v>
      </c>
      <c r="N222" s="69" t="s">
        <v>151</v>
      </c>
      <c r="O222" s="69">
        <f t="shared" si="7"/>
        <v>2.4960000000000004</v>
      </c>
      <c r="P222" s="69">
        <v>81</v>
      </c>
      <c r="Q222" s="69">
        <f t="shared" si="6"/>
        <v>110.93333333333337</v>
      </c>
    </row>
    <row r="223" spans="5:20" x14ac:dyDescent="0.25">
      <c r="E223" s="69">
        <v>217</v>
      </c>
      <c r="F223" s="69" t="s">
        <v>146</v>
      </c>
      <c r="G223" s="69" t="s">
        <v>147</v>
      </c>
      <c r="H223" s="69" t="s">
        <v>148</v>
      </c>
      <c r="I223" s="69" t="s">
        <v>149</v>
      </c>
      <c r="J223" s="69" t="s">
        <v>150</v>
      </c>
      <c r="K223" s="69">
        <v>1.3</v>
      </c>
      <c r="L223" s="69">
        <v>0.6</v>
      </c>
      <c r="M223" s="69">
        <v>3.2</v>
      </c>
      <c r="N223" s="69" t="s">
        <v>151</v>
      </c>
      <c r="O223" s="69">
        <f t="shared" si="7"/>
        <v>2.4960000000000004</v>
      </c>
      <c r="P223" s="69">
        <v>76</v>
      </c>
      <c r="Q223" s="69">
        <f t="shared" si="6"/>
        <v>118.23157894736845</v>
      </c>
    </row>
    <row r="224" spans="5:20" x14ac:dyDescent="0.25">
      <c r="E224" s="69">
        <v>218</v>
      </c>
      <c r="F224" s="69" t="s">
        <v>146</v>
      </c>
      <c r="G224" s="69" t="s">
        <v>147</v>
      </c>
      <c r="H224" s="69" t="s">
        <v>148</v>
      </c>
      <c r="I224" s="69" t="s">
        <v>149</v>
      </c>
      <c r="J224" s="69" t="s">
        <v>150</v>
      </c>
      <c r="K224" s="69">
        <v>1.3</v>
      </c>
      <c r="L224" s="69">
        <v>0.6</v>
      </c>
      <c r="M224" s="69">
        <v>3.2</v>
      </c>
      <c r="N224" s="69" t="s">
        <v>151</v>
      </c>
      <c r="O224" s="69">
        <f t="shared" si="7"/>
        <v>2.4960000000000004</v>
      </c>
      <c r="P224" s="69">
        <v>125</v>
      </c>
      <c r="Q224" s="69">
        <f t="shared" si="6"/>
        <v>71.884800000000013</v>
      </c>
    </row>
    <row r="225" spans="5:20" x14ac:dyDescent="0.25">
      <c r="E225" s="69">
        <v>219</v>
      </c>
      <c r="F225" s="69" t="s">
        <v>146</v>
      </c>
      <c r="G225" s="69" t="s">
        <v>147</v>
      </c>
      <c r="H225" s="69" t="s">
        <v>148</v>
      </c>
      <c r="I225" s="69" t="s">
        <v>149</v>
      </c>
      <c r="J225" s="69" t="s">
        <v>150</v>
      </c>
      <c r="K225" s="69">
        <v>1.3</v>
      </c>
      <c r="L225" s="69">
        <v>0.6</v>
      </c>
      <c r="M225" s="69">
        <v>3.2</v>
      </c>
      <c r="N225" s="69" t="s">
        <v>151</v>
      </c>
      <c r="O225" s="69">
        <f t="shared" si="7"/>
        <v>2.4960000000000004</v>
      </c>
      <c r="P225" s="69">
        <v>108</v>
      </c>
      <c r="Q225" s="69">
        <f t="shared" si="6"/>
        <v>83.200000000000017</v>
      </c>
    </row>
    <row r="226" spans="5:20" x14ac:dyDescent="0.25">
      <c r="E226" s="69">
        <v>220</v>
      </c>
      <c r="F226" s="69" t="s">
        <v>146</v>
      </c>
      <c r="G226" s="69" t="s">
        <v>147</v>
      </c>
      <c r="H226" s="69" t="s">
        <v>148</v>
      </c>
      <c r="I226" s="69" t="s">
        <v>149</v>
      </c>
      <c r="J226" s="69" t="s">
        <v>150</v>
      </c>
      <c r="K226" s="69">
        <v>1.3</v>
      </c>
      <c r="L226" s="69">
        <v>0.6</v>
      </c>
      <c r="M226" s="69">
        <v>3.2</v>
      </c>
      <c r="N226" s="69" t="s">
        <v>151</v>
      </c>
      <c r="O226" s="69">
        <f t="shared" si="7"/>
        <v>2.4960000000000004</v>
      </c>
      <c r="P226" s="69">
        <v>102</v>
      </c>
      <c r="Q226" s="69">
        <f t="shared" si="6"/>
        <v>88.094117647058852</v>
      </c>
    </row>
    <row r="227" spans="5:20" x14ac:dyDescent="0.25">
      <c r="E227" s="69">
        <v>221</v>
      </c>
      <c r="F227" s="69" t="s">
        <v>146</v>
      </c>
      <c r="G227" s="69" t="s">
        <v>147</v>
      </c>
      <c r="H227" s="69" t="s">
        <v>148</v>
      </c>
      <c r="I227" s="69" t="s">
        <v>149</v>
      </c>
      <c r="J227" s="69" t="s">
        <v>150</v>
      </c>
      <c r="K227" s="69">
        <v>1.3</v>
      </c>
      <c r="L227" s="69">
        <v>0.6</v>
      </c>
      <c r="M227" s="69">
        <v>3.2</v>
      </c>
      <c r="N227" s="69" t="s">
        <v>151</v>
      </c>
      <c r="O227" s="69">
        <f t="shared" si="7"/>
        <v>2.4960000000000004</v>
      </c>
      <c r="P227" s="69">
        <v>97</v>
      </c>
      <c r="Q227" s="69">
        <f t="shared" si="6"/>
        <v>92.635051546391779</v>
      </c>
    </row>
    <row r="228" spans="5:20" x14ac:dyDescent="0.25">
      <c r="E228" s="69">
        <v>222</v>
      </c>
      <c r="F228" s="69" t="s">
        <v>146</v>
      </c>
      <c r="G228" s="69" t="s">
        <v>147</v>
      </c>
      <c r="H228" s="69" t="s">
        <v>148</v>
      </c>
      <c r="I228" s="69" t="s">
        <v>149</v>
      </c>
      <c r="J228" s="69" t="s">
        <v>150</v>
      </c>
      <c r="K228" s="69">
        <v>1.3</v>
      </c>
      <c r="L228" s="69">
        <v>0.6</v>
      </c>
      <c r="M228" s="69">
        <v>3.2</v>
      </c>
      <c r="N228" s="69" t="s">
        <v>151</v>
      </c>
      <c r="O228" s="69">
        <f t="shared" si="7"/>
        <v>2.4960000000000004</v>
      </c>
      <c r="P228" s="69">
        <v>96</v>
      </c>
      <c r="Q228" s="69">
        <f t="shared" si="6"/>
        <v>93.600000000000023</v>
      </c>
    </row>
    <row r="229" spans="5:20" x14ac:dyDescent="0.25">
      <c r="E229" s="69">
        <v>223</v>
      </c>
      <c r="F229" s="69" t="s">
        <v>146</v>
      </c>
      <c r="G229" s="69" t="s">
        <v>147</v>
      </c>
      <c r="H229" s="69" t="s">
        <v>148</v>
      </c>
      <c r="I229" s="69" t="s">
        <v>149</v>
      </c>
      <c r="J229" s="69" t="s">
        <v>150</v>
      </c>
      <c r="K229" s="69">
        <v>1.3</v>
      </c>
      <c r="L229" s="69">
        <v>0.6</v>
      </c>
      <c r="M229" s="69">
        <v>3.2</v>
      </c>
      <c r="N229" s="69" t="s">
        <v>151</v>
      </c>
      <c r="O229" s="69">
        <f t="shared" si="7"/>
        <v>2.4960000000000004</v>
      </c>
      <c r="P229" s="69">
        <v>113</v>
      </c>
      <c r="Q229" s="69">
        <f t="shared" si="6"/>
        <v>79.518584070796479</v>
      </c>
    </row>
    <row r="230" spans="5:20" x14ac:dyDescent="0.25">
      <c r="E230" s="69">
        <v>224</v>
      </c>
      <c r="F230" s="69" t="s">
        <v>146</v>
      </c>
      <c r="G230" s="69" t="s">
        <v>147</v>
      </c>
      <c r="H230" s="69" t="s">
        <v>148</v>
      </c>
      <c r="I230" s="69" t="s">
        <v>149</v>
      </c>
      <c r="J230" s="69" t="s">
        <v>150</v>
      </c>
      <c r="K230" s="69">
        <v>1.3</v>
      </c>
      <c r="L230" s="69">
        <v>0.6</v>
      </c>
      <c r="M230" s="69">
        <v>3.2</v>
      </c>
      <c r="N230" s="69" t="s">
        <v>151</v>
      </c>
      <c r="O230" s="69">
        <f t="shared" si="7"/>
        <v>2.4960000000000004</v>
      </c>
      <c r="P230" s="69">
        <v>104</v>
      </c>
      <c r="Q230" s="69">
        <f t="shared" si="6"/>
        <v>86.40000000000002</v>
      </c>
    </row>
    <row r="231" spans="5:20" x14ac:dyDescent="0.25">
      <c r="E231" s="69">
        <v>225</v>
      </c>
      <c r="F231" s="69" t="s">
        <v>146</v>
      </c>
      <c r="G231" s="69" t="s">
        <v>147</v>
      </c>
      <c r="H231" s="69" t="s">
        <v>148</v>
      </c>
      <c r="I231" s="69" t="s">
        <v>149</v>
      </c>
      <c r="J231" s="69" t="s">
        <v>150</v>
      </c>
      <c r="K231" s="69">
        <v>1.3</v>
      </c>
      <c r="L231" s="69">
        <v>0.6</v>
      </c>
      <c r="M231" s="69">
        <v>3.2</v>
      </c>
      <c r="N231" s="69" t="s">
        <v>151</v>
      </c>
      <c r="O231" s="69">
        <f t="shared" si="7"/>
        <v>2.4960000000000004</v>
      </c>
      <c r="P231" s="69">
        <v>119</v>
      </c>
      <c r="Q231" s="69">
        <f t="shared" si="6"/>
        <v>75.509243697479008</v>
      </c>
    </row>
    <row r="232" spans="5:20" x14ac:dyDescent="0.25">
      <c r="E232" s="69">
        <v>226</v>
      </c>
      <c r="F232" s="69" t="s">
        <v>146</v>
      </c>
      <c r="G232" s="69" t="s">
        <v>147</v>
      </c>
      <c r="H232" s="69" t="s">
        <v>148</v>
      </c>
      <c r="I232" s="69" t="s">
        <v>149</v>
      </c>
      <c r="J232" s="69" t="s">
        <v>150</v>
      </c>
      <c r="K232" s="69">
        <v>1.3</v>
      </c>
      <c r="L232" s="69">
        <v>0.6</v>
      </c>
      <c r="M232" s="69">
        <v>3.2</v>
      </c>
      <c r="N232" s="69" t="s">
        <v>151</v>
      </c>
      <c r="O232" s="69">
        <f t="shared" si="7"/>
        <v>2.4960000000000004</v>
      </c>
      <c r="P232" s="69">
        <v>121</v>
      </c>
      <c r="Q232" s="69">
        <f t="shared" si="6"/>
        <v>74.261157024793405</v>
      </c>
    </row>
    <row r="233" spans="5:20" x14ac:dyDescent="0.25">
      <c r="E233" s="69">
        <v>227</v>
      </c>
      <c r="F233" s="69" t="s">
        <v>146</v>
      </c>
      <c r="G233" s="69" t="s">
        <v>147</v>
      </c>
      <c r="H233" s="69" t="s">
        <v>148</v>
      </c>
      <c r="I233" s="69" t="s">
        <v>149</v>
      </c>
      <c r="J233" s="69" t="s">
        <v>150</v>
      </c>
      <c r="K233" s="69">
        <v>1.3</v>
      </c>
      <c r="L233" s="69">
        <v>0.6</v>
      </c>
      <c r="M233" s="69">
        <v>3.2</v>
      </c>
      <c r="N233" s="69" t="s">
        <v>151</v>
      </c>
      <c r="O233" s="69">
        <f t="shared" si="7"/>
        <v>2.4960000000000004</v>
      </c>
      <c r="P233" s="69">
        <v>94</v>
      </c>
      <c r="Q233" s="69">
        <f t="shared" si="6"/>
        <v>95.591489361702145</v>
      </c>
    </row>
    <row r="234" spans="5:20" x14ac:dyDescent="0.25">
      <c r="E234" s="69">
        <v>228</v>
      </c>
      <c r="F234" s="69" t="s">
        <v>146</v>
      </c>
      <c r="G234" s="69" t="s">
        <v>147</v>
      </c>
      <c r="H234" s="69" t="s">
        <v>148</v>
      </c>
      <c r="I234" s="69" t="s">
        <v>149</v>
      </c>
      <c r="J234" s="69" t="s">
        <v>150</v>
      </c>
      <c r="K234" s="69">
        <v>1.3</v>
      </c>
      <c r="L234" s="69">
        <v>0.6</v>
      </c>
      <c r="M234" s="69">
        <v>3.2</v>
      </c>
      <c r="N234" s="69" t="s">
        <v>151</v>
      </c>
      <c r="O234" s="69">
        <f t="shared" si="7"/>
        <v>2.4960000000000004</v>
      </c>
      <c r="P234" s="69">
        <v>82</v>
      </c>
      <c r="Q234" s="69">
        <f t="shared" si="6"/>
        <v>109.58048780487808</v>
      </c>
      <c r="T234" s="1">
        <v>322</v>
      </c>
    </row>
    <row r="235" spans="5:20" x14ac:dyDescent="0.25">
      <c r="E235" s="69">
        <v>229</v>
      </c>
      <c r="F235" s="69" t="s">
        <v>146</v>
      </c>
      <c r="G235" s="69" t="s">
        <v>147</v>
      </c>
      <c r="H235" s="69" t="s">
        <v>148</v>
      </c>
      <c r="I235" s="69" t="s">
        <v>149</v>
      </c>
      <c r="J235" s="69" t="s">
        <v>150</v>
      </c>
      <c r="K235" s="69">
        <v>1.3</v>
      </c>
      <c r="L235" s="69">
        <v>0.6</v>
      </c>
      <c r="M235" s="69">
        <v>3.2</v>
      </c>
      <c r="N235" s="69" t="s">
        <v>151</v>
      </c>
      <c r="O235" s="69">
        <f t="shared" si="7"/>
        <v>2.4960000000000004</v>
      </c>
      <c r="P235" s="69">
        <v>435</v>
      </c>
      <c r="Q235" s="69">
        <f t="shared" si="6"/>
        <v>20.656551724137937</v>
      </c>
    </row>
    <row r="236" spans="5:20" x14ac:dyDescent="0.25">
      <c r="E236" s="69">
        <v>230</v>
      </c>
      <c r="F236" s="69" t="s">
        <v>146</v>
      </c>
      <c r="G236" s="69" t="s">
        <v>147</v>
      </c>
      <c r="H236" s="69" t="s">
        <v>148</v>
      </c>
      <c r="I236" s="69" t="s">
        <v>149</v>
      </c>
      <c r="J236" s="69" t="s">
        <v>150</v>
      </c>
      <c r="K236" s="69">
        <v>1.3</v>
      </c>
      <c r="L236" s="69">
        <v>0.6</v>
      </c>
      <c r="M236" s="69">
        <v>3.2</v>
      </c>
      <c r="N236" s="69" t="s">
        <v>151</v>
      </c>
      <c r="O236" s="69">
        <f t="shared" si="7"/>
        <v>2.4960000000000004</v>
      </c>
      <c r="P236" s="69">
        <v>114</v>
      </c>
      <c r="Q236" s="69">
        <f t="shared" si="6"/>
        <v>78.821052631578965</v>
      </c>
    </row>
    <row r="237" spans="5:20" x14ac:dyDescent="0.25">
      <c r="E237" s="69">
        <v>231</v>
      </c>
      <c r="F237" s="69" t="s">
        <v>146</v>
      </c>
      <c r="G237" s="69" t="s">
        <v>147</v>
      </c>
      <c r="H237" s="69" t="s">
        <v>148</v>
      </c>
      <c r="I237" s="69" t="s">
        <v>149</v>
      </c>
      <c r="J237" s="69" t="s">
        <v>150</v>
      </c>
      <c r="K237" s="69">
        <v>1.3</v>
      </c>
      <c r="L237" s="69">
        <v>0.6</v>
      </c>
      <c r="M237" s="69">
        <v>3.2</v>
      </c>
      <c r="N237" s="69" t="s">
        <v>151</v>
      </c>
      <c r="O237" s="69">
        <f t="shared" si="7"/>
        <v>2.4960000000000004</v>
      </c>
      <c r="P237" s="69">
        <v>102</v>
      </c>
      <c r="Q237" s="69">
        <f t="shared" si="6"/>
        <v>88.094117647058852</v>
      </c>
    </row>
    <row r="238" spans="5:20" x14ac:dyDescent="0.25">
      <c r="E238" s="69">
        <v>232</v>
      </c>
      <c r="F238" s="69" t="s">
        <v>146</v>
      </c>
      <c r="G238" s="69" t="s">
        <v>147</v>
      </c>
      <c r="H238" s="69" t="s">
        <v>148</v>
      </c>
      <c r="I238" s="69" t="s">
        <v>149</v>
      </c>
      <c r="J238" s="69" t="s">
        <v>150</v>
      </c>
      <c r="K238" s="69">
        <v>1.3</v>
      </c>
      <c r="L238" s="69">
        <v>0.6</v>
      </c>
      <c r="M238" s="69">
        <v>3.2</v>
      </c>
      <c r="N238" s="69" t="s">
        <v>151</v>
      </c>
      <c r="O238" s="69">
        <f t="shared" si="7"/>
        <v>2.4960000000000004</v>
      </c>
      <c r="P238" s="69">
        <v>97</v>
      </c>
      <c r="Q238" s="69">
        <f t="shared" si="6"/>
        <v>92.635051546391779</v>
      </c>
    </row>
    <row r="239" spans="5:20" x14ac:dyDescent="0.25">
      <c r="E239" s="69">
        <v>233</v>
      </c>
      <c r="F239" s="69" t="s">
        <v>146</v>
      </c>
      <c r="G239" s="69" t="s">
        <v>147</v>
      </c>
      <c r="H239" s="69" t="s">
        <v>148</v>
      </c>
      <c r="I239" s="69" t="s">
        <v>149</v>
      </c>
      <c r="J239" s="69" t="s">
        <v>150</v>
      </c>
      <c r="K239" s="69">
        <v>1.3</v>
      </c>
      <c r="L239" s="69">
        <v>0.6</v>
      </c>
      <c r="M239" s="69">
        <v>3.2</v>
      </c>
      <c r="N239" s="69" t="s">
        <v>151</v>
      </c>
      <c r="O239" s="69">
        <f t="shared" si="7"/>
        <v>2.4960000000000004</v>
      </c>
      <c r="P239" s="69">
        <v>104</v>
      </c>
      <c r="Q239" s="69">
        <f t="shared" si="6"/>
        <v>86.40000000000002</v>
      </c>
    </row>
    <row r="240" spans="5:20" x14ac:dyDescent="0.25">
      <c r="E240" s="69">
        <v>234</v>
      </c>
      <c r="F240" s="69" t="s">
        <v>146</v>
      </c>
      <c r="G240" s="69" t="s">
        <v>147</v>
      </c>
      <c r="H240" s="69" t="s">
        <v>148</v>
      </c>
      <c r="I240" s="69" t="s">
        <v>149</v>
      </c>
      <c r="J240" s="69" t="s">
        <v>150</v>
      </c>
      <c r="K240" s="69">
        <v>1.3</v>
      </c>
      <c r="L240" s="69">
        <v>0.6</v>
      </c>
      <c r="M240" s="69">
        <v>3.2</v>
      </c>
      <c r="N240" s="69" t="s">
        <v>151</v>
      </c>
      <c r="O240" s="69">
        <f t="shared" si="7"/>
        <v>2.4960000000000004</v>
      </c>
      <c r="P240" s="69">
        <v>116</v>
      </c>
      <c r="Q240" s="69">
        <f t="shared" si="6"/>
        <v>77.462068965517261</v>
      </c>
    </row>
    <row r="241" spans="5:17" x14ac:dyDescent="0.25">
      <c r="E241" s="69">
        <v>235</v>
      </c>
      <c r="F241" s="69" t="s">
        <v>146</v>
      </c>
      <c r="G241" s="69" t="s">
        <v>147</v>
      </c>
      <c r="H241" s="69" t="s">
        <v>148</v>
      </c>
      <c r="I241" s="69" t="s">
        <v>149</v>
      </c>
      <c r="J241" s="69" t="s">
        <v>150</v>
      </c>
      <c r="K241" s="69">
        <v>1.3</v>
      </c>
      <c r="L241" s="69">
        <v>0.6</v>
      </c>
      <c r="M241" s="69">
        <v>3.2</v>
      </c>
      <c r="N241" s="69" t="s">
        <v>151</v>
      </c>
      <c r="O241" s="69">
        <f t="shared" si="7"/>
        <v>2.4960000000000004</v>
      </c>
      <c r="P241" s="69">
        <v>67</v>
      </c>
      <c r="Q241" s="69">
        <f t="shared" si="6"/>
        <v>134.11343283582093</v>
      </c>
    </row>
    <row r="242" spans="5:17" x14ac:dyDescent="0.25">
      <c r="E242" s="69">
        <v>236</v>
      </c>
      <c r="F242" s="69" t="s">
        <v>146</v>
      </c>
      <c r="G242" s="69" t="s">
        <v>147</v>
      </c>
      <c r="H242" s="69" t="s">
        <v>148</v>
      </c>
      <c r="I242" s="69" t="s">
        <v>149</v>
      </c>
      <c r="J242" s="69" t="s">
        <v>150</v>
      </c>
      <c r="K242" s="69">
        <v>1.3</v>
      </c>
      <c r="L242" s="69">
        <v>0.6</v>
      </c>
      <c r="M242" s="69">
        <v>3.2</v>
      </c>
      <c r="N242" s="69" t="s">
        <v>151</v>
      </c>
      <c r="O242" s="69">
        <f t="shared" si="7"/>
        <v>2.4960000000000004</v>
      </c>
      <c r="P242" s="69">
        <v>88</v>
      </c>
      <c r="Q242" s="69">
        <f t="shared" si="6"/>
        <v>102.10909090909094</v>
      </c>
    </row>
    <row r="243" spans="5:17" x14ac:dyDescent="0.25">
      <c r="E243" s="69">
        <v>237</v>
      </c>
      <c r="F243" s="69" t="s">
        <v>146</v>
      </c>
      <c r="G243" s="69" t="s">
        <v>147</v>
      </c>
      <c r="H243" s="69" t="s">
        <v>148</v>
      </c>
      <c r="I243" s="69" t="s">
        <v>149</v>
      </c>
      <c r="J243" s="69" t="s">
        <v>150</v>
      </c>
      <c r="K243" s="69">
        <v>1.3</v>
      </c>
      <c r="L243" s="69">
        <v>0.6</v>
      </c>
      <c r="M243" s="69">
        <v>3.2</v>
      </c>
      <c r="N243" s="69" t="s">
        <v>151</v>
      </c>
      <c r="O243" s="69">
        <f t="shared" si="7"/>
        <v>2.4960000000000004</v>
      </c>
      <c r="P243" s="69">
        <v>109</v>
      </c>
      <c r="Q243" s="69">
        <f t="shared" si="6"/>
        <v>82.436697247706448</v>
      </c>
    </row>
    <row r="244" spans="5:17" x14ac:dyDescent="0.25">
      <c r="E244" s="69">
        <v>238</v>
      </c>
      <c r="F244" s="69" t="s">
        <v>146</v>
      </c>
      <c r="G244" s="69" t="s">
        <v>147</v>
      </c>
      <c r="H244" s="69" t="s">
        <v>148</v>
      </c>
      <c r="I244" s="69" t="s">
        <v>149</v>
      </c>
      <c r="J244" s="69" t="s">
        <v>150</v>
      </c>
      <c r="K244" s="69">
        <v>1.3</v>
      </c>
      <c r="L244" s="69">
        <v>0.6</v>
      </c>
      <c r="M244" s="69">
        <v>3.2</v>
      </c>
      <c r="N244" s="69" t="s">
        <v>151</v>
      </c>
      <c r="O244" s="69">
        <f t="shared" si="7"/>
        <v>2.4960000000000004</v>
      </c>
      <c r="P244" s="69">
        <v>113</v>
      </c>
      <c r="Q244" s="69">
        <f t="shared" si="6"/>
        <v>79.518584070796479</v>
      </c>
    </row>
    <row r="245" spans="5:17" x14ac:dyDescent="0.25">
      <c r="E245" s="69">
        <v>239</v>
      </c>
      <c r="F245" s="69" t="s">
        <v>146</v>
      </c>
      <c r="G245" s="69" t="s">
        <v>147</v>
      </c>
      <c r="H245" s="69" t="s">
        <v>148</v>
      </c>
      <c r="I245" s="69" t="s">
        <v>149</v>
      </c>
      <c r="J245" s="69" t="s">
        <v>150</v>
      </c>
      <c r="K245" s="69">
        <v>1.3</v>
      </c>
      <c r="L245" s="69">
        <v>0.6</v>
      </c>
      <c r="M245" s="69">
        <v>3.2</v>
      </c>
      <c r="N245" s="69" t="s">
        <v>151</v>
      </c>
      <c r="O245" s="69">
        <f t="shared" si="7"/>
        <v>2.4960000000000004</v>
      </c>
      <c r="P245" s="69">
        <v>112</v>
      </c>
      <c r="Q245" s="69">
        <f t="shared" si="6"/>
        <v>80.228571428571442</v>
      </c>
    </row>
    <row r="246" spans="5:17" x14ac:dyDescent="0.25">
      <c r="E246" s="69">
        <v>240</v>
      </c>
      <c r="F246" s="69" t="s">
        <v>146</v>
      </c>
      <c r="G246" s="69" t="s">
        <v>147</v>
      </c>
      <c r="H246" s="69" t="s">
        <v>148</v>
      </c>
      <c r="I246" s="69" t="s">
        <v>149</v>
      </c>
      <c r="J246" s="69" t="s">
        <v>150</v>
      </c>
      <c r="K246" s="69">
        <v>1.3</v>
      </c>
      <c r="L246" s="69">
        <v>0.6</v>
      </c>
      <c r="M246" s="69">
        <v>3.2</v>
      </c>
      <c r="N246" s="69" t="s">
        <v>151</v>
      </c>
      <c r="O246" s="69">
        <f t="shared" si="7"/>
        <v>2.4960000000000004</v>
      </c>
      <c r="P246" s="69">
        <v>92</v>
      </c>
      <c r="Q246" s="69">
        <f t="shared" si="6"/>
        <v>97.669565217391323</v>
      </c>
    </row>
    <row r="247" spans="5:17" x14ac:dyDescent="0.25">
      <c r="E247" s="69">
        <v>241</v>
      </c>
      <c r="F247" s="69" t="s">
        <v>146</v>
      </c>
      <c r="G247" s="69" t="s">
        <v>147</v>
      </c>
      <c r="H247" s="69" t="s">
        <v>148</v>
      </c>
      <c r="I247" s="69" t="s">
        <v>149</v>
      </c>
      <c r="J247" s="69" t="s">
        <v>150</v>
      </c>
      <c r="K247" s="69">
        <v>1.3</v>
      </c>
      <c r="L247" s="69">
        <v>0.6</v>
      </c>
      <c r="M247" s="69">
        <v>3.2</v>
      </c>
      <c r="N247" s="69" t="s">
        <v>151</v>
      </c>
      <c r="O247" s="69">
        <f t="shared" si="7"/>
        <v>2.4960000000000004</v>
      </c>
      <c r="P247" s="69">
        <v>95</v>
      </c>
      <c r="Q247" s="69">
        <f t="shared" si="6"/>
        <v>94.585263157894758</v>
      </c>
    </row>
    <row r="248" spans="5:17" x14ac:dyDescent="0.25">
      <c r="E248" s="69">
        <v>242</v>
      </c>
      <c r="F248" s="69" t="s">
        <v>146</v>
      </c>
      <c r="G248" s="69" t="s">
        <v>147</v>
      </c>
      <c r="H248" s="69" t="s">
        <v>148</v>
      </c>
      <c r="I248" s="69" t="s">
        <v>149</v>
      </c>
      <c r="J248" s="69" t="s">
        <v>150</v>
      </c>
      <c r="K248" s="69">
        <v>1.3</v>
      </c>
      <c r="L248" s="69">
        <v>0.6</v>
      </c>
      <c r="M248" s="69">
        <v>3.2</v>
      </c>
      <c r="N248" s="69" t="s">
        <v>151</v>
      </c>
      <c r="O248" s="69">
        <f t="shared" si="7"/>
        <v>2.4960000000000004</v>
      </c>
      <c r="P248" s="69">
        <v>111</v>
      </c>
      <c r="Q248" s="69">
        <f t="shared" si="6"/>
        <v>80.951351351351377</v>
      </c>
    </row>
    <row r="249" spans="5:17" x14ac:dyDescent="0.25">
      <c r="E249" s="69">
        <v>243</v>
      </c>
      <c r="F249" s="69" t="s">
        <v>146</v>
      </c>
      <c r="G249" s="69" t="s">
        <v>147</v>
      </c>
      <c r="H249" s="69" t="s">
        <v>148</v>
      </c>
      <c r="I249" s="69" t="s">
        <v>149</v>
      </c>
      <c r="J249" s="69" t="s">
        <v>150</v>
      </c>
      <c r="K249" s="69">
        <v>1.3</v>
      </c>
      <c r="L249" s="69">
        <v>0.6</v>
      </c>
      <c r="M249" s="69">
        <v>3.2</v>
      </c>
      <c r="N249" s="69" t="s">
        <v>151</v>
      </c>
      <c r="O249" s="69">
        <f t="shared" si="7"/>
        <v>2.4960000000000004</v>
      </c>
      <c r="P249" s="69">
        <v>98</v>
      </c>
      <c r="Q249" s="69">
        <f t="shared" si="6"/>
        <v>91.689795918367366</v>
      </c>
    </row>
  </sheetData>
  <mergeCells count="6">
    <mergeCell ref="S5:X5"/>
    <mergeCell ref="K5:M5"/>
    <mergeCell ref="E1:P1"/>
    <mergeCell ref="E2:P2"/>
    <mergeCell ref="E3:P3"/>
    <mergeCell ref="E4:P4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9"/>
  <sheetViews>
    <sheetView topLeftCell="B1" workbookViewId="0">
      <pane ySplit="6" topLeftCell="A87" activePane="bottomLeft" state="frozen"/>
      <selection pane="bottomLeft" activeCell="H206" sqref="H107:H206"/>
    </sheetView>
  </sheetViews>
  <sheetFormatPr defaultColWidth="9.125" defaultRowHeight="14.25" x14ac:dyDescent="0.2"/>
  <cols>
    <col min="1" max="1" width="12.75" style="23" bestFit="1" customWidth="1"/>
    <col min="2" max="2" width="17.375" style="23" bestFit="1" customWidth="1"/>
    <col min="3" max="3" width="13.75" style="23" bestFit="1" customWidth="1"/>
    <col min="4" max="4" width="14.125" style="23" bestFit="1" customWidth="1"/>
    <col min="5" max="5" width="11.25" style="23" bestFit="1" customWidth="1"/>
    <col min="6" max="6" width="12.375" style="23" bestFit="1" customWidth="1"/>
    <col min="7" max="7" width="17.25" style="23" customWidth="1"/>
    <col min="8" max="8" width="10.75" style="23" customWidth="1"/>
    <col min="9" max="9" width="9.125" style="23" bestFit="1" customWidth="1"/>
    <col min="10" max="14" width="9.25" style="23" bestFit="1" customWidth="1"/>
    <col min="15" max="16384" width="9.125" style="23"/>
  </cols>
  <sheetData>
    <row r="1" spans="1:14" x14ac:dyDescent="0.2">
      <c r="B1" s="84" t="s">
        <v>0</v>
      </c>
      <c r="C1" s="84"/>
      <c r="D1" s="84"/>
      <c r="E1" s="84"/>
      <c r="F1" s="84"/>
      <c r="G1" s="84"/>
      <c r="H1" s="84"/>
      <c r="I1" s="84"/>
    </row>
    <row r="2" spans="1:14" x14ac:dyDescent="0.2">
      <c r="B2" s="84" t="s">
        <v>1</v>
      </c>
      <c r="C2" s="84"/>
      <c r="D2" s="84"/>
      <c r="E2" s="84"/>
      <c r="F2" s="84"/>
      <c r="G2" s="84"/>
      <c r="H2" s="84"/>
      <c r="I2" s="84"/>
    </row>
    <row r="3" spans="1:14" ht="15" x14ac:dyDescent="0.2">
      <c r="B3" s="85" t="s">
        <v>116</v>
      </c>
      <c r="C3" s="85"/>
      <c r="D3" s="85"/>
      <c r="E3" s="85"/>
      <c r="F3" s="85"/>
      <c r="G3" s="85"/>
      <c r="H3" s="85"/>
      <c r="I3" s="85"/>
    </row>
    <row r="4" spans="1:14" ht="15" x14ac:dyDescent="0.2">
      <c r="B4" s="86" t="s">
        <v>95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</row>
    <row r="5" spans="1:14" s="24" customFormat="1" ht="15" customHeight="1" x14ac:dyDescent="0.25">
      <c r="I5" s="78" t="s">
        <v>101</v>
      </c>
      <c r="J5" s="78"/>
      <c r="K5" s="78"/>
      <c r="L5" s="78"/>
      <c r="M5" s="78"/>
      <c r="N5" s="78"/>
    </row>
    <row r="6" spans="1:14" ht="30" x14ac:dyDescent="0.2">
      <c r="A6" s="25" t="s">
        <v>5</v>
      </c>
      <c r="B6" s="27" t="s">
        <v>96</v>
      </c>
      <c r="C6" s="26" t="s">
        <v>114</v>
      </c>
      <c r="D6" s="25" t="s">
        <v>98</v>
      </c>
      <c r="E6" s="27" t="s">
        <v>97</v>
      </c>
      <c r="F6" s="28" t="s">
        <v>115</v>
      </c>
      <c r="G6" s="30" t="s">
        <v>99</v>
      </c>
      <c r="H6" s="30" t="s">
        <v>100</v>
      </c>
      <c r="I6" s="29" t="s">
        <v>102</v>
      </c>
      <c r="J6" s="29" t="s">
        <v>103</v>
      </c>
      <c r="K6" s="29" t="s">
        <v>104</v>
      </c>
      <c r="L6" s="29" t="s">
        <v>105</v>
      </c>
      <c r="M6" s="29" t="s">
        <v>106</v>
      </c>
      <c r="N6" s="29" t="s">
        <v>107</v>
      </c>
    </row>
    <row r="7" spans="1:14" ht="15.75" x14ac:dyDescent="0.2">
      <c r="A7" s="77">
        <v>42804</v>
      </c>
      <c r="B7" s="69">
        <v>1</v>
      </c>
      <c r="C7" s="69" t="s">
        <v>145</v>
      </c>
      <c r="D7" s="69" t="s">
        <v>152</v>
      </c>
      <c r="E7" s="70" t="s">
        <v>149</v>
      </c>
      <c r="F7" s="70" t="s">
        <v>154</v>
      </c>
      <c r="G7" s="70">
        <v>1</v>
      </c>
      <c r="H7" s="69">
        <v>67</v>
      </c>
      <c r="I7" s="70"/>
      <c r="J7" s="70"/>
      <c r="K7" s="70"/>
      <c r="L7" s="70"/>
      <c r="M7" s="70"/>
      <c r="N7" s="70"/>
    </row>
    <row r="8" spans="1:14" ht="15.75" x14ac:dyDescent="0.2">
      <c r="A8" s="70"/>
      <c r="B8" s="70"/>
      <c r="C8" s="70"/>
      <c r="D8" s="70"/>
      <c r="E8" s="70"/>
      <c r="F8" s="70"/>
      <c r="G8" s="70">
        <v>2</v>
      </c>
      <c r="H8" s="69">
        <v>62</v>
      </c>
      <c r="I8" s="70"/>
      <c r="J8" s="70"/>
      <c r="K8" s="70"/>
      <c r="L8" s="70"/>
      <c r="M8" s="70"/>
      <c r="N8" s="70"/>
    </row>
    <row r="9" spans="1:14" ht="15.75" x14ac:dyDescent="0.2">
      <c r="A9" s="70"/>
      <c r="B9" s="70"/>
      <c r="C9" s="70"/>
      <c r="D9" s="70"/>
      <c r="E9" s="70"/>
      <c r="F9" s="70"/>
      <c r="G9" s="70">
        <v>3</v>
      </c>
      <c r="H9" s="69">
        <v>47</v>
      </c>
      <c r="I9" s="70"/>
      <c r="J9" s="70"/>
      <c r="K9" s="70"/>
      <c r="L9" s="70"/>
      <c r="M9" s="70"/>
      <c r="N9" s="70"/>
    </row>
    <row r="10" spans="1:14" ht="15.75" x14ac:dyDescent="0.2">
      <c r="A10" s="70"/>
      <c r="B10" s="70"/>
      <c r="C10" s="70"/>
      <c r="D10" s="70"/>
      <c r="E10" s="70"/>
      <c r="F10" s="70"/>
      <c r="G10" s="70">
        <v>4</v>
      </c>
      <c r="H10" s="69">
        <v>74</v>
      </c>
      <c r="I10" s="70"/>
      <c r="J10" s="70"/>
      <c r="K10" s="70"/>
      <c r="L10" s="70"/>
      <c r="M10" s="70"/>
      <c r="N10" s="70"/>
    </row>
    <row r="11" spans="1:14" ht="15.75" x14ac:dyDescent="0.2">
      <c r="A11" s="70"/>
      <c r="B11" s="70"/>
      <c r="C11" s="70"/>
      <c r="D11" s="70"/>
      <c r="E11" s="70"/>
      <c r="F11" s="70"/>
      <c r="G11" s="70">
        <v>5</v>
      </c>
      <c r="H11" s="69">
        <v>73</v>
      </c>
      <c r="I11" s="70"/>
      <c r="J11" s="70"/>
      <c r="K11" s="70"/>
      <c r="L11" s="70"/>
      <c r="M11" s="70"/>
      <c r="N11" s="70"/>
    </row>
    <row r="12" spans="1:14" ht="15.75" x14ac:dyDescent="0.2">
      <c r="A12" s="70"/>
      <c r="B12" s="70"/>
      <c r="C12" s="70"/>
      <c r="D12" s="70"/>
      <c r="E12" s="70"/>
      <c r="F12" s="70"/>
      <c r="G12" s="70">
        <v>6</v>
      </c>
      <c r="H12" s="69">
        <v>68</v>
      </c>
      <c r="I12" s="70"/>
      <c r="J12" s="70"/>
      <c r="K12" s="70"/>
      <c r="L12" s="70"/>
      <c r="M12" s="70"/>
      <c r="N12" s="70"/>
    </row>
    <row r="13" spans="1:14" ht="15.75" x14ac:dyDescent="0.2">
      <c r="A13" s="70"/>
      <c r="B13" s="70"/>
      <c r="C13" s="70"/>
      <c r="D13" s="70"/>
      <c r="E13" s="70"/>
      <c r="F13" s="70"/>
      <c r="G13" s="70">
        <v>7</v>
      </c>
      <c r="H13" s="69">
        <v>254</v>
      </c>
      <c r="I13" s="70"/>
      <c r="J13" s="70"/>
      <c r="K13" s="70">
        <v>182</v>
      </c>
      <c r="L13" s="70"/>
      <c r="M13" s="70"/>
      <c r="N13" s="70"/>
    </row>
    <row r="14" spans="1:14" ht="15.75" x14ac:dyDescent="0.2">
      <c r="A14" s="70"/>
      <c r="B14" s="70"/>
      <c r="C14" s="70"/>
      <c r="D14" s="70"/>
      <c r="E14" s="70"/>
      <c r="F14" s="70"/>
      <c r="G14" s="70">
        <v>8</v>
      </c>
      <c r="H14" s="69">
        <v>63</v>
      </c>
      <c r="I14" s="70"/>
      <c r="J14" s="70"/>
      <c r="K14" s="70"/>
      <c r="L14" s="70"/>
      <c r="M14" s="70"/>
      <c r="N14" s="70"/>
    </row>
    <row r="15" spans="1:14" ht="15.75" x14ac:dyDescent="0.2">
      <c r="A15" s="70"/>
      <c r="B15" s="70"/>
      <c r="C15" s="70"/>
      <c r="D15" s="70"/>
      <c r="E15" s="70"/>
      <c r="F15" s="70"/>
      <c r="G15" s="70">
        <v>9</v>
      </c>
      <c r="H15" s="69">
        <v>76</v>
      </c>
      <c r="I15" s="70"/>
      <c r="J15" s="70"/>
      <c r="K15" s="70"/>
      <c r="L15" s="70"/>
      <c r="M15" s="70"/>
      <c r="N15" s="70"/>
    </row>
    <row r="16" spans="1:14" ht="15.75" x14ac:dyDescent="0.2">
      <c r="A16" s="70"/>
      <c r="B16" s="70"/>
      <c r="C16" s="70"/>
      <c r="D16" s="70"/>
      <c r="E16" s="70"/>
      <c r="F16" s="70"/>
      <c r="G16" s="70">
        <v>10</v>
      </c>
      <c r="H16" s="69">
        <v>71</v>
      </c>
      <c r="I16" s="70"/>
      <c r="J16" s="70"/>
      <c r="K16" s="70"/>
      <c r="L16" s="70"/>
      <c r="M16" s="70"/>
      <c r="N16" s="70"/>
    </row>
    <row r="17" spans="1:14" ht="15.75" x14ac:dyDescent="0.2">
      <c r="A17" s="70"/>
      <c r="B17" s="70"/>
      <c r="C17" s="70"/>
      <c r="D17" s="70"/>
      <c r="E17" s="70"/>
      <c r="F17" s="70"/>
      <c r="G17" s="70">
        <v>11</v>
      </c>
      <c r="H17" s="69">
        <v>49</v>
      </c>
      <c r="I17" s="70"/>
      <c r="J17" s="70"/>
      <c r="K17" s="70"/>
      <c r="L17" s="70"/>
      <c r="M17" s="70"/>
      <c r="N17" s="70"/>
    </row>
    <row r="18" spans="1:14" ht="15.75" x14ac:dyDescent="0.2">
      <c r="A18" s="70"/>
      <c r="B18" s="70"/>
      <c r="C18" s="70"/>
      <c r="D18" s="70"/>
      <c r="E18" s="70"/>
      <c r="F18" s="70"/>
      <c r="G18" s="70">
        <v>12</v>
      </c>
      <c r="H18" s="69">
        <v>83</v>
      </c>
      <c r="I18" s="70"/>
      <c r="J18" s="70"/>
      <c r="K18" s="70"/>
      <c r="L18" s="70"/>
      <c r="M18" s="70"/>
      <c r="N18" s="70"/>
    </row>
    <row r="19" spans="1:14" ht="15.75" x14ac:dyDescent="0.2">
      <c r="A19" s="70"/>
      <c r="B19" s="70"/>
      <c r="C19" s="70"/>
      <c r="D19" s="70"/>
      <c r="E19" s="70"/>
      <c r="F19" s="70"/>
      <c r="G19" s="70">
        <v>13</v>
      </c>
      <c r="H19" s="69">
        <v>78</v>
      </c>
      <c r="I19" s="70"/>
      <c r="J19" s="70"/>
      <c r="K19" s="70"/>
      <c r="L19" s="70"/>
      <c r="M19" s="70"/>
      <c r="N19" s="70"/>
    </row>
    <row r="20" spans="1:14" ht="15.75" x14ac:dyDescent="0.2">
      <c r="A20" s="70"/>
      <c r="B20" s="70"/>
      <c r="C20" s="70"/>
      <c r="D20" s="70"/>
      <c r="E20" s="70"/>
      <c r="F20" s="70"/>
      <c r="G20" s="70">
        <v>14</v>
      </c>
      <c r="H20" s="69">
        <v>75</v>
      </c>
      <c r="I20" s="70"/>
      <c r="J20" s="70"/>
      <c r="K20" s="70"/>
      <c r="L20" s="70"/>
      <c r="M20" s="70"/>
      <c r="N20" s="70"/>
    </row>
    <row r="21" spans="1:14" ht="15.75" x14ac:dyDescent="0.2">
      <c r="A21" s="70"/>
      <c r="B21" s="70"/>
      <c r="C21" s="70"/>
      <c r="D21" s="70"/>
      <c r="E21" s="70"/>
      <c r="F21" s="70"/>
      <c r="G21" s="70">
        <v>15</v>
      </c>
      <c r="H21" s="69">
        <v>67</v>
      </c>
      <c r="I21" s="70"/>
      <c r="J21" s="70"/>
      <c r="K21" s="70"/>
      <c r="L21" s="70"/>
      <c r="M21" s="70"/>
      <c r="N21" s="70"/>
    </row>
    <row r="22" spans="1:14" ht="15.75" x14ac:dyDescent="0.2">
      <c r="A22" s="70"/>
      <c r="B22" s="70"/>
      <c r="C22" s="70"/>
      <c r="D22" s="70"/>
      <c r="E22" s="70"/>
      <c r="F22" s="70"/>
      <c r="G22" s="70">
        <v>16</v>
      </c>
      <c r="H22" s="69">
        <v>64</v>
      </c>
      <c r="I22" s="70"/>
      <c r="J22" s="70"/>
      <c r="K22" s="70"/>
      <c r="L22" s="70"/>
      <c r="M22" s="70"/>
      <c r="N22" s="70"/>
    </row>
    <row r="23" spans="1:14" ht="15.75" x14ac:dyDescent="0.2">
      <c r="A23" s="70"/>
      <c r="B23" s="70"/>
      <c r="C23" s="70"/>
      <c r="D23" s="70"/>
      <c r="E23" s="70"/>
      <c r="F23" s="70"/>
      <c r="G23" s="70">
        <v>17</v>
      </c>
      <c r="H23" s="69">
        <v>57</v>
      </c>
      <c r="I23" s="70"/>
      <c r="J23" s="70"/>
      <c r="K23" s="70"/>
      <c r="L23" s="70"/>
      <c r="M23" s="70"/>
      <c r="N23" s="70"/>
    </row>
    <row r="24" spans="1:14" ht="15.75" x14ac:dyDescent="0.2">
      <c r="A24" s="70"/>
      <c r="B24" s="70"/>
      <c r="C24" s="70"/>
      <c r="D24" s="70"/>
      <c r="E24" s="70"/>
      <c r="F24" s="70"/>
      <c r="G24" s="70">
        <v>18</v>
      </c>
      <c r="H24" s="69">
        <v>81</v>
      </c>
      <c r="I24" s="70"/>
      <c r="J24" s="70"/>
      <c r="K24" s="70"/>
      <c r="L24" s="70"/>
      <c r="M24" s="70"/>
      <c r="N24" s="70"/>
    </row>
    <row r="25" spans="1:14" ht="15.75" x14ac:dyDescent="0.2">
      <c r="A25" s="70"/>
      <c r="B25" s="70"/>
      <c r="C25" s="70"/>
      <c r="D25" s="70"/>
      <c r="E25" s="70"/>
      <c r="F25" s="70"/>
      <c r="G25" s="70">
        <v>19</v>
      </c>
      <c r="H25" s="69">
        <v>84</v>
      </c>
      <c r="I25" s="70"/>
      <c r="J25" s="70"/>
      <c r="K25" s="70"/>
      <c r="L25" s="70"/>
      <c r="M25" s="70"/>
      <c r="N25" s="70"/>
    </row>
    <row r="26" spans="1:14" ht="15.75" x14ac:dyDescent="0.2">
      <c r="A26" s="70"/>
      <c r="B26" s="70"/>
      <c r="C26" s="70"/>
      <c r="D26" s="70"/>
      <c r="E26" s="70"/>
      <c r="F26" s="70"/>
      <c r="G26" s="70">
        <v>20</v>
      </c>
      <c r="H26" s="69">
        <v>73</v>
      </c>
      <c r="I26" s="70"/>
      <c r="J26" s="70"/>
      <c r="K26" s="70"/>
      <c r="L26" s="70"/>
      <c r="M26" s="70"/>
      <c r="N26" s="70"/>
    </row>
    <row r="27" spans="1:14" ht="15.75" x14ac:dyDescent="0.2">
      <c r="A27" s="70"/>
      <c r="B27" s="70"/>
      <c r="C27" s="70"/>
      <c r="D27" s="70"/>
      <c r="E27" s="70"/>
      <c r="F27" s="70"/>
      <c r="G27" s="70">
        <v>21</v>
      </c>
      <c r="H27" s="69">
        <v>77</v>
      </c>
      <c r="I27" s="70"/>
      <c r="J27" s="70"/>
      <c r="K27" s="70"/>
      <c r="L27" s="70"/>
      <c r="M27" s="70"/>
      <c r="N27" s="70"/>
    </row>
    <row r="28" spans="1:14" ht="15.75" x14ac:dyDescent="0.2">
      <c r="A28" s="70"/>
      <c r="B28" s="70"/>
      <c r="C28" s="70"/>
      <c r="D28" s="70"/>
      <c r="E28" s="70"/>
      <c r="F28" s="70"/>
      <c r="G28" s="70">
        <v>22</v>
      </c>
      <c r="H28" s="69">
        <v>89</v>
      </c>
      <c r="I28" s="70"/>
      <c r="J28" s="70"/>
      <c r="K28" s="70"/>
      <c r="L28" s="70"/>
      <c r="M28" s="70"/>
      <c r="N28" s="70"/>
    </row>
    <row r="29" spans="1:14" ht="15.75" x14ac:dyDescent="0.2">
      <c r="A29" s="70"/>
      <c r="B29" s="70"/>
      <c r="C29" s="70"/>
      <c r="D29" s="70"/>
      <c r="E29" s="70"/>
      <c r="F29" s="70"/>
      <c r="G29" s="70">
        <v>23</v>
      </c>
      <c r="H29" s="69">
        <v>82</v>
      </c>
      <c r="I29" s="70"/>
      <c r="J29" s="70"/>
      <c r="K29" s="70"/>
      <c r="L29" s="70"/>
      <c r="M29" s="70"/>
      <c r="N29" s="70"/>
    </row>
    <row r="30" spans="1:14" ht="15.75" x14ac:dyDescent="0.2">
      <c r="A30" s="70"/>
      <c r="B30" s="70"/>
      <c r="C30" s="70"/>
      <c r="D30" s="70"/>
      <c r="E30" s="70"/>
      <c r="F30" s="70"/>
      <c r="G30" s="70">
        <v>24</v>
      </c>
      <c r="H30" s="69">
        <v>51</v>
      </c>
      <c r="I30" s="70"/>
      <c r="J30" s="70"/>
      <c r="K30" s="70"/>
      <c r="L30" s="70"/>
      <c r="M30" s="70"/>
      <c r="N30" s="70"/>
    </row>
    <row r="31" spans="1:14" ht="15.75" x14ac:dyDescent="0.2">
      <c r="A31" s="70"/>
      <c r="B31" s="70"/>
      <c r="C31" s="70"/>
      <c r="D31" s="70"/>
      <c r="E31" s="70"/>
      <c r="F31" s="70"/>
      <c r="G31" s="70">
        <v>25</v>
      </c>
      <c r="H31" s="69">
        <v>78</v>
      </c>
      <c r="I31" s="70"/>
      <c r="J31" s="70"/>
      <c r="K31" s="70"/>
      <c r="L31" s="70"/>
      <c r="M31" s="70"/>
      <c r="N31" s="70"/>
    </row>
    <row r="32" spans="1:14" ht="15.75" x14ac:dyDescent="0.2">
      <c r="A32" s="70"/>
      <c r="B32" s="70"/>
      <c r="C32" s="70"/>
      <c r="D32" s="70"/>
      <c r="E32" s="70"/>
      <c r="F32" s="70"/>
      <c r="G32" s="70">
        <v>26</v>
      </c>
      <c r="H32" s="69">
        <v>86</v>
      </c>
      <c r="I32" s="70"/>
      <c r="J32" s="70"/>
      <c r="K32" s="70"/>
      <c r="L32" s="70"/>
      <c r="M32" s="70"/>
      <c r="N32" s="70"/>
    </row>
    <row r="33" spans="1:14" ht="15.75" x14ac:dyDescent="0.2">
      <c r="A33" s="70"/>
      <c r="B33" s="70"/>
      <c r="C33" s="70"/>
      <c r="D33" s="70"/>
      <c r="E33" s="70"/>
      <c r="F33" s="70"/>
      <c r="G33" s="70">
        <v>27</v>
      </c>
      <c r="H33" s="69">
        <v>88</v>
      </c>
      <c r="I33" s="70"/>
      <c r="J33" s="70"/>
      <c r="K33" s="70"/>
      <c r="L33" s="70"/>
      <c r="M33" s="70"/>
      <c r="N33" s="70"/>
    </row>
    <row r="34" spans="1:14" ht="15.75" x14ac:dyDescent="0.2">
      <c r="A34" s="70"/>
      <c r="B34" s="70"/>
      <c r="C34" s="70"/>
      <c r="D34" s="70"/>
      <c r="E34" s="70"/>
      <c r="F34" s="70"/>
      <c r="G34" s="70">
        <v>28</v>
      </c>
      <c r="H34" s="69">
        <v>74</v>
      </c>
      <c r="I34" s="70"/>
      <c r="J34" s="70"/>
      <c r="K34" s="70"/>
      <c r="L34" s="70"/>
      <c r="M34" s="70"/>
      <c r="N34" s="70"/>
    </row>
    <row r="35" spans="1:14" ht="15.75" x14ac:dyDescent="0.2">
      <c r="A35" s="70"/>
      <c r="B35" s="70"/>
      <c r="C35" s="70"/>
      <c r="D35" s="70"/>
      <c r="E35" s="70"/>
      <c r="F35" s="70"/>
      <c r="G35" s="70">
        <v>29</v>
      </c>
      <c r="H35" s="69">
        <v>55</v>
      </c>
      <c r="I35" s="70"/>
      <c r="J35" s="70"/>
      <c r="K35" s="70"/>
      <c r="L35" s="70"/>
      <c r="M35" s="70"/>
      <c r="N35" s="70"/>
    </row>
    <row r="36" spans="1:14" ht="15.75" x14ac:dyDescent="0.2">
      <c r="A36" s="70"/>
      <c r="B36" s="70"/>
      <c r="C36" s="70"/>
      <c r="D36" s="70"/>
      <c r="E36" s="70"/>
      <c r="F36" s="70"/>
      <c r="G36" s="70">
        <v>30</v>
      </c>
      <c r="H36" s="69">
        <v>79</v>
      </c>
      <c r="I36" s="70"/>
      <c r="J36" s="70"/>
      <c r="K36" s="70"/>
      <c r="L36" s="70"/>
      <c r="M36" s="70"/>
      <c r="N36" s="70"/>
    </row>
    <row r="37" spans="1:14" ht="15.75" x14ac:dyDescent="0.2">
      <c r="A37" s="70"/>
      <c r="B37" s="70"/>
      <c r="C37" s="70"/>
      <c r="D37" s="70"/>
      <c r="E37" s="70"/>
      <c r="F37" s="70"/>
      <c r="G37" s="70">
        <v>31</v>
      </c>
      <c r="H37" s="69">
        <v>84</v>
      </c>
      <c r="I37" s="70"/>
      <c r="J37" s="70"/>
      <c r="K37" s="70"/>
      <c r="L37" s="70"/>
      <c r="M37" s="70"/>
      <c r="N37" s="70"/>
    </row>
    <row r="38" spans="1:14" ht="15.75" x14ac:dyDescent="0.2">
      <c r="A38" s="70"/>
      <c r="B38" s="70"/>
      <c r="C38" s="70"/>
      <c r="D38" s="70"/>
      <c r="E38" s="70"/>
      <c r="F38" s="70"/>
      <c r="G38" s="70">
        <v>32</v>
      </c>
      <c r="H38" s="69">
        <v>86</v>
      </c>
      <c r="I38" s="70"/>
      <c r="J38" s="70"/>
      <c r="K38" s="70"/>
      <c r="L38" s="70"/>
      <c r="M38" s="70"/>
      <c r="N38" s="70"/>
    </row>
    <row r="39" spans="1:14" ht="15.75" x14ac:dyDescent="0.2">
      <c r="A39" s="70"/>
      <c r="B39" s="70"/>
      <c r="C39" s="70"/>
      <c r="D39" s="70"/>
      <c r="E39" s="70"/>
      <c r="F39" s="70"/>
      <c r="G39" s="70">
        <v>33</v>
      </c>
      <c r="H39" s="69">
        <v>70</v>
      </c>
      <c r="I39" s="70"/>
      <c r="J39" s="70"/>
      <c r="K39" s="70"/>
      <c r="L39" s="70"/>
      <c r="M39" s="70"/>
      <c r="N39" s="70"/>
    </row>
    <row r="40" spans="1:14" ht="15.75" x14ac:dyDescent="0.2">
      <c r="A40" s="70"/>
      <c r="B40" s="70"/>
      <c r="C40" s="70"/>
      <c r="D40" s="70"/>
      <c r="E40" s="70"/>
      <c r="F40" s="70"/>
      <c r="G40" s="70">
        <v>34</v>
      </c>
      <c r="H40" s="69">
        <v>75</v>
      </c>
      <c r="I40" s="70"/>
      <c r="J40" s="70"/>
      <c r="K40" s="70"/>
      <c r="L40" s="70"/>
      <c r="M40" s="70"/>
      <c r="N40" s="70"/>
    </row>
    <row r="41" spans="1:14" ht="15.75" x14ac:dyDescent="0.2">
      <c r="A41" s="70"/>
      <c r="B41" s="70"/>
      <c r="C41" s="70"/>
      <c r="D41" s="70"/>
      <c r="E41" s="70"/>
      <c r="F41" s="70"/>
      <c r="G41" s="70">
        <v>35</v>
      </c>
      <c r="H41" s="69">
        <v>83</v>
      </c>
      <c r="I41" s="70"/>
      <c r="J41" s="70"/>
      <c r="K41" s="70"/>
      <c r="L41" s="70"/>
      <c r="M41" s="70"/>
      <c r="N41" s="70"/>
    </row>
    <row r="42" spans="1:14" ht="15.75" x14ac:dyDescent="0.2">
      <c r="G42" s="70">
        <v>36</v>
      </c>
      <c r="H42" s="69">
        <v>87</v>
      </c>
      <c r="I42" s="70"/>
      <c r="J42" s="70"/>
      <c r="K42" s="70"/>
      <c r="L42" s="70"/>
      <c r="M42" s="70"/>
      <c r="N42" s="70"/>
    </row>
    <row r="43" spans="1:14" ht="15.75" x14ac:dyDescent="0.2">
      <c r="G43" s="70">
        <v>37</v>
      </c>
      <c r="H43" s="69">
        <v>81</v>
      </c>
      <c r="I43" s="70"/>
      <c r="J43" s="70"/>
      <c r="K43" s="70"/>
      <c r="L43" s="70"/>
      <c r="M43" s="70"/>
      <c r="N43" s="70"/>
    </row>
    <row r="44" spans="1:14" ht="15.75" x14ac:dyDescent="0.2">
      <c r="G44" s="70">
        <v>38</v>
      </c>
      <c r="H44" s="69">
        <v>54</v>
      </c>
      <c r="I44" s="70"/>
      <c r="J44" s="70"/>
      <c r="K44" s="70"/>
      <c r="L44" s="70"/>
      <c r="M44" s="70"/>
      <c r="N44" s="70"/>
    </row>
    <row r="45" spans="1:14" ht="15.75" x14ac:dyDescent="0.2">
      <c r="G45" s="70">
        <v>39</v>
      </c>
      <c r="H45" s="69">
        <v>72</v>
      </c>
      <c r="I45" s="70"/>
      <c r="J45" s="70"/>
      <c r="K45" s="70"/>
      <c r="L45" s="70"/>
      <c r="M45" s="70"/>
      <c r="N45" s="70"/>
    </row>
    <row r="46" spans="1:14" ht="15.75" x14ac:dyDescent="0.2">
      <c r="G46" s="70">
        <v>40</v>
      </c>
      <c r="H46" s="69">
        <v>89</v>
      </c>
      <c r="I46" s="70"/>
      <c r="J46" s="70"/>
      <c r="K46" s="70"/>
      <c r="L46" s="70"/>
      <c r="M46" s="70"/>
      <c r="N46" s="70"/>
    </row>
    <row r="47" spans="1:14" ht="15.75" x14ac:dyDescent="0.2">
      <c r="G47" s="70">
        <v>41</v>
      </c>
      <c r="H47" s="69">
        <v>95</v>
      </c>
      <c r="I47" s="70"/>
      <c r="J47" s="70"/>
      <c r="K47" s="70"/>
      <c r="L47" s="70"/>
      <c r="M47" s="70"/>
      <c r="N47" s="70"/>
    </row>
    <row r="48" spans="1:14" ht="15.75" x14ac:dyDescent="0.2">
      <c r="G48" s="70">
        <v>42</v>
      </c>
      <c r="H48" s="69">
        <v>58</v>
      </c>
      <c r="I48" s="70"/>
      <c r="J48" s="70"/>
      <c r="K48" s="70"/>
      <c r="L48" s="70"/>
      <c r="M48" s="70"/>
      <c r="N48" s="70"/>
    </row>
    <row r="49" spans="7:14" ht="15.75" x14ac:dyDescent="0.2">
      <c r="G49" s="70">
        <v>43</v>
      </c>
      <c r="H49" s="69">
        <v>56</v>
      </c>
      <c r="I49" s="70"/>
      <c r="J49" s="70"/>
      <c r="K49" s="70"/>
      <c r="L49" s="70"/>
      <c r="M49" s="70"/>
      <c r="N49" s="70"/>
    </row>
    <row r="50" spans="7:14" ht="15.75" x14ac:dyDescent="0.2">
      <c r="G50" s="70">
        <v>44</v>
      </c>
      <c r="H50" s="69">
        <v>94</v>
      </c>
      <c r="I50" s="70"/>
      <c r="J50" s="70"/>
      <c r="K50" s="70"/>
      <c r="L50" s="70"/>
      <c r="M50" s="70"/>
      <c r="N50" s="70"/>
    </row>
    <row r="51" spans="7:14" ht="15.75" x14ac:dyDescent="0.2">
      <c r="G51" s="70">
        <v>45</v>
      </c>
      <c r="H51" s="69">
        <v>92</v>
      </c>
      <c r="I51" s="70"/>
      <c r="J51" s="70"/>
      <c r="K51" s="70"/>
      <c r="L51" s="70"/>
      <c r="M51" s="70"/>
      <c r="N51" s="70"/>
    </row>
    <row r="52" spans="7:14" ht="15.75" x14ac:dyDescent="0.2">
      <c r="G52" s="70">
        <v>46</v>
      </c>
      <c r="H52" s="69">
        <v>83</v>
      </c>
      <c r="I52" s="70"/>
      <c r="J52" s="70"/>
      <c r="K52" s="70"/>
      <c r="L52" s="70"/>
      <c r="M52" s="70"/>
      <c r="N52" s="70"/>
    </row>
    <row r="53" spans="7:14" ht="15.75" x14ac:dyDescent="0.2">
      <c r="G53" s="70">
        <v>47</v>
      </c>
      <c r="H53" s="69">
        <v>97</v>
      </c>
      <c r="I53" s="70"/>
      <c r="J53" s="70"/>
      <c r="K53" s="70"/>
      <c r="L53" s="70"/>
      <c r="M53" s="70"/>
      <c r="N53" s="70"/>
    </row>
    <row r="54" spans="7:14" ht="15.75" x14ac:dyDescent="0.2">
      <c r="G54" s="70">
        <v>48</v>
      </c>
      <c r="H54" s="69">
        <v>71</v>
      </c>
      <c r="I54" s="70"/>
      <c r="J54" s="70"/>
      <c r="K54" s="70"/>
      <c r="L54" s="70"/>
      <c r="M54" s="70"/>
      <c r="N54" s="70"/>
    </row>
    <row r="55" spans="7:14" ht="15.75" x14ac:dyDescent="0.2">
      <c r="G55" s="70">
        <v>49</v>
      </c>
      <c r="H55" s="69">
        <v>337</v>
      </c>
      <c r="I55" s="70"/>
      <c r="J55" s="70"/>
      <c r="K55" s="70">
        <v>254</v>
      </c>
      <c r="L55" s="70"/>
      <c r="M55" s="70"/>
      <c r="N55" s="70"/>
    </row>
    <row r="56" spans="7:14" ht="15.75" x14ac:dyDescent="0.2">
      <c r="G56" s="70">
        <v>50</v>
      </c>
      <c r="H56" s="69">
        <v>94</v>
      </c>
      <c r="I56" s="70"/>
      <c r="J56" s="70"/>
      <c r="K56" s="70"/>
      <c r="L56" s="70"/>
      <c r="M56" s="70"/>
      <c r="N56" s="70"/>
    </row>
    <row r="57" spans="7:14" ht="15.75" x14ac:dyDescent="0.2">
      <c r="G57" s="70">
        <v>51</v>
      </c>
      <c r="H57" s="69">
        <v>92</v>
      </c>
      <c r="I57" s="70"/>
      <c r="J57" s="70"/>
      <c r="K57" s="70"/>
      <c r="L57" s="70"/>
      <c r="M57" s="70"/>
      <c r="N57" s="70"/>
    </row>
    <row r="58" spans="7:14" ht="15.75" x14ac:dyDescent="0.2">
      <c r="G58" s="70">
        <v>52</v>
      </c>
      <c r="H58" s="69">
        <v>76</v>
      </c>
      <c r="I58" s="70"/>
      <c r="J58" s="70"/>
      <c r="K58" s="70"/>
      <c r="L58" s="70"/>
      <c r="M58" s="70"/>
      <c r="N58" s="70"/>
    </row>
    <row r="59" spans="7:14" ht="15.75" x14ac:dyDescent="0.2">
      <c r="G59" s="70">
        <v>53</v>
      </c>
      <c r="H59" s="69">
        <v>84</v>
      </c>
      <c r="I59" s="70"/>
      <c r="J59" s="70"/>
      <c r="K59" s="70"/>
      <c r="L59" s="70"/>
      <c r="M59" s="70"/>
      <c r="N59" s="70"/>
    </row>
    <row r="60" spans="7:14" ht="15.75" x14ac:dyDescent="0.2">
      <c r="G60" s="70">
        <v>54</v>
      </c>
      <c r="H60" s="69">
        <v>87</v>
      </c>
      <c r="I60" s="70"/>
      <c r="J60" s="70"/>
      <c r="K60" s="70"/>
      <c r="L60" s="70"/>
      <c r="M60" s="70"/>
      <c r="N60" s="70"/>
    </row>
    <row r="61" spans="7:14" ht="15.75" x14ac:dyDescent="0.2">
      <c r="G61" s="70">
        <v>55</v>
      </c>
      <c r="H61" s="69">
        <v>61</v>
      </c>
      <c r="I61" s="70"/>
      <c r="J61" s="70"/>
      <c r="K61" s="70"/>
      <c r="L61" s="70"/>
      <c r="M61" s="70"/>
      <c r="N61" s="70"/>
    </row>
    <row r="62" spans="7:14" ht="15.75" x14ac:dyDescent="0.2">
      <c r="G62" s="70">
        <v>56</v>
      </c>
      <c r="H62" s="69">
        <v>98</v>
      </c>
      <c r="I62" s="70"/>
      <c r="J62" s="70"/>
      <c r="K62" s="70"/>
      <c r="L62" s="70"/>
      <c r="M62" s="70"/>
      <c r="N62" s="70"/>
    </row>
    <row r="63" spans="7:14" ht="15.75" x14ac:dyDescent="0.2">
      <c r="G63" s="70">
        <v>57</v>
      </c>
      <c r="H63" s="69">
        <v>95</v>
      </c>
      <c r="I63" s="70"/>
      <c r="J63" s="70"/>
      <c r="K63" s="70"/>
      <c r="L63" s="70"/>
      <c r="M63" s="70"/>
      <c r="N63" s="70"/>
    </row>
    <row r="64" spans="7:14" ht="15.75" x14ac:dyDescent="0.2">
      <c r="G64" s="70">
        <v>58</v>
      </c>
      <c r="H64" s="69">
        <v>67</v>
      </c>
      <c r="I64" s="70"/>
      <c r="J64" s="70"/>
      <c r="K64" s="70"/>
      <c r="L64" s="70"/>
      <c r="M64" s="70"/>
      <c r="N64" s="70"/>
    </row>
    <row r="65" spans="7:14" ht="15.75" x14ac:dyDescent="0.2">
      <c r="G65" s="70">
        <v>59</v>
      </c>
      <c r="H65" s="69">
        <v>97</v>
      </c>
      <c r="I65" s="70"/>
      <c r="J65" s="70"/>
      <c r="K65" s="70"/>
      <c r="L65" s="70"/>
      <c r="M65" s="70"/>
      <c r="N65" s="70"/>
    </row>
    <row r="66" spans="7:14" ht="15.75" x14ac:dyDescent="0.2">
      <c r="G66" s="70">
        <v>60</v>
      </c>
      <c r="H66" s="69">
        <v>89</v>
      </c>
      <c r="I66" s="70"/>
      <c r="J66" s="70"/>
      <c r="K66" s="70"/>
      <c r="L66" s="70"/>
      <c r="M66" s="70"/>
      <c r="N66" s="70"/>
    </row>
    <row r="67" spans="7:14" ht="15.75" x14ac:dyDescent="0.2">
      <c r="G67" s="70">
        <v>61</v>
      </c>
      <c r="H67" s="69">
        <v>88</v>
      </c>
      <c r="I67" s="70"/>
      <c r="J67" s="70"/>
      <c r="K67" s="70"/>
      <c r="L67" s="70"/>
      <c r="M67" s="70"/>
      <c r="N67" s="70"/>
    </row>
    <row r="68" spans="7:14" ht="15.75" x14ac:dyDescent="0.2">
      <c r="G68" s="70">
        <v>62</v>
      </c>
      <c r="H68" s="69">
        <v>92</v>
      </c>
      <c r="I68" s="70"/>
      <c r="J68" s="70"/>
      <c r="K68" s="70"/>
      <c r="L68" s="70"/>
      <c r="M68" s="70"/>
      <c r="N68" s="70"/>
    </row>
    <row r="69" spans="7:14" ht="15.75" x14ac:dyDescent="0.2">
      <c r="G69" s="70">
        <v>63</v>
      </c>
      <c r="H69" s="69">
        <v>64</v>
      </c>
      <c r="I69" s="70"/>
      <c r="J69" s="70"/>
      <c r="K69" s="70"/>
      <c r="L69" s="70"/>
      <c r="M69" s="70"/>
      <c r="N69" s="70"/>
    </row>
    <row r="70" spans="7:14" ht="15.75" x14ac:dyDescent="0.2">
      <c r="G70" s="70">
        <v>64</v>
      </c>
      <c r="H70" s="69">
        <v>75</v>
      </c>
      <c r="I70" s="70"/>
      <c r="J70" s="70"/>
      <c r="K70" s="70"/>
      <c r="L70" s="70"/>
      <c r="M70" s="70"/>
      <c r="N70" s="70"/>
    </row>
    <row r="71" spans="7:14" ht="15.75" x14ac:dyDescent="0.2">
      <c r="G71" s="70">
        <v>65</v>
      </c>
      <c r="H71" s="69">
        <v>91</v>
      </c>
      <c r="I71" s="70"/>
      <c r="J71" s="70"/>
      <c r="K71" s="70"/>
      <c r="L71" s="70"/>
      <c r="M71" s="70"/>
      <c r="N71" s="70"/>
    </row>
    <row r="72" spans="7:14" ht="15.75" x14ac:dyDescent="0.2">
      <c r="G72" s="70">
        <v>66</v>
      </c>
      <c r="H72" s="69">
        <v>86</v>
      </c>
      <c r="I72" s="70"/>
      <c r="J72" s="70"/>
      <c r="K72" s="70"/>
      <c r="L72" s="70"/>
      <c r="M72" s="70"/>
      <c r="N72" s="70"/>
    </row>
    <row r="73" spans="7:14" ht="15.75" x14ac:dyDescent="0.2">
      <c r="G73" s="70">
        <v>67</v>
      </c>
      <c r="H73" s="69">
        <v>97</v>
      </c>
      <c r="I73" s="70"/>
      <c r="J73" s="70"/>
      <c r="K73" s="70"/>
      <c r="L73" s="70"/>
      <c r="M73" s="70"/>
      <c r="N73" s="70"/>
    </row>
    <row r="74" spans="7:14" ht="15.75" x14ac:dyDescent="0.2">
      <c r="G74" s="70">
        <v>68</v>
      </c>
      <c r="H74" s="69">
        <v>82</v>
      </c>
      <c r="I74" s="70"/>
      <c r="J74" s="70"/>
      <c r="K74" s="70"/>
      <c r="L74" s="70"/>
      <c r="M74" s="70"/>
      <c r="N74" s="70"/>
    </row>
    <row r="75" spans="7:14" ht="15.75" x14ac:dyDescent="0.2">
      <c r="G75" s="70">
        <v>69</v>
      </c>
      <c r="H75" s="69">
        <v>60</v>
      </c>
      <c r="I75" s="70"/>
      <c r="J75" s="70"/>
      <c r="K75" s="70"/>
      <c r="L75" s="70"/>
      <c r="M75" s="70"/>
      <c r="N75" s="70"/>
    </row>
    <row r="76" spans="7:14" ht="15.75" x14ac:dyDescent="0.2">
      <c r="G76" s="70">
        <v>70</v>
      </c>
      <c r="H76" s="69">
        <v>98</v>
      </c>
      <c r="I76" s="70"/>
      <c r="J76" s="70"/>
      <c r="K76" s="70"/>
      <c r="L76" s="70"/>
      <c r="M76" s="70"/>
      <c r="N76" s="70"/>
    </row>
    <row r="77" spans="7:14" ht="15.75" x14ac:dyDescent="0.2">
      <c r="G77" s="70">
        <v>71</v>
      </c>
      <c r="H77" s="69">
        <v>102</v>
      </c>
      <c r="I77" s="70"/>
      <c r="J77" s="70"/>
      <c r="K77" s="70"/>
      <c r="L77" s="70"/>
      <c r="M77" s="70"/>
      <c r="N77" s="70"/>
    </row>
    <row r="78" spans="7:14" ht="15.75" x14ac:dyDescent="0.2">
      <c r="G78" s="70">
        <v>72</v>
      </c>
      <c r="H78" s="69">
        <v>1258</v>
      </c>
      <c r="I78" s="70"/>
      <c r="J78" s="70"/>
      <c r="K78" s="70">
        <v>1209</v>
      </c>
      <c r="L78" s="70"/>
      <c r="M78" s="70"/>
      <c r="N78" s="70"/>
    </row>
    <row r="79" spans="7:14" ht="15.75" x14ac:dyDescent="0.2">
      <c r="G79" s="70">
        <v>73</v>
      </c>
      <c r="H79" s="69">
        <v>97</v>
      </c>
      <c r="I79" s="70"/>
      <c r="J79" s="70"/>
      <c r="K79" s="70"/>
      <c r="L79" s="70"/>
      <c r="M79" s="70"/>
      <c r="N79" s="70"/>
    </row>
    <row r="80" spans="7:14" ht="15.75" x14ac:dyDescent="0.2">
      <c r="G80" s="70">
        <v>74</v>
      </c>
      <c r="H80" s="69">
        <v>101</v>
      </c>
      <c r="I80" s="70"/>
      <c r="J80" s="70"/>
      <c r="K80" s="70"/>
      <c r="L80" s="70"/>
      <c r="M80" s="70"/>
      <c r="N80" s="70"/>
    </row>
    <row r="81" spans="7:14" ht="15.75" x14ac:dyDescent="0.2">
      <c r="G81" s="70">
        <v>75</v>
      </c>
      <c r="H81" s="69">
        <v>71</v>
      </c>
      <c r="I81" s="70"/>
      <c r="J81" s="70"/>
      <c r="K81" s="70"/>
      <c r="L81" s="70"/>
      <c r="M81" s="70"/>
      <c r="N81" s="70"/>
    </row>
    <row r="82" spans="7:14" ht="15.75" x14ac:dyDescent="0.2">
      <c r="G82" s="70">
        <v>76</v>
      </c>
      <c r="H82" s="69">
        <v>79</v>
      </c>
      <c r="I82" s="70"/>
      <c r="J82" s="70"/>
      <c r="K82" s="70"/>
      <c r="L82" s="70"/>
      <c r="M82" s="70"/>
      <c r="N82" s="70"/>
    </row>
    <row r="83" spans="7:14" ht="15.75" x14ac:dyDescent="0.2">
      <c r="G83" s="70">
        <v>77</v>
      </c>
      <c r="H83" s="69">
        <v>87</v>
      </c>
      <c r="I83" s="70"/>
      <c r="J83" s="70"/>
      <c r="K83" s="70"/>
      <c r="L83" s="70"/>
      <c r="M83" s="70"/>
      <c r="N83" s="70"/>
    </row>
    <row r="84" spans="7:14" ht="15.75" x14ac:dyDescent="0.2">
      <c r="G84" s="70">
        <v>78</v>
      </c>
      <c r="H84" s="69">
        <v>92</v>
      </c>
      <c r="I84" s="70"/>
      <c r="J84" s="70"/>
      <c r="K84" s="70"/>
      <c r="L84" s="70"/>
      <c r="M84" s="70"/>
      <c r="N84" s="70"/>
    </row>
    <row r="85" spans="7:14" ht="15.75" x14ac:dyDescent="0.2">
      <c r="G85" s="70">
        <v>79</v>
      </c>
      <c r="H85" s="69">
        <v>96</v>
      </c>
      <c r="I85" s="70"/>
      <c r="J85" s="70"/>
      <c r="K85" s="70"/>
      <c r="L85" s="70"/>
      <c r="M85" s="70"/>
      <c r="N85" s="70"/>
    </row>
    <row r="86" spans="7:14" ht="15.75" x14ac:dyDescent="0.2">
      <c r="G86" s="70">
        <v>80</v>
      </c>
      <c r="H86" s="69">
        <v>98</v>
      </c>
      <c r="I86" s="70"/>
      <c r="J86" s="70"/>
      <c r="K86" s="70"/>
      <c r="L86" s="70"/>
      <c r="M86" s="70"/>
      <c r="N86" s="70"/>
    </row>
    <row r="87" spans="7:14" ht="15.75" x14ac:dyDescent="0.2">
      <c r="G87" s="70">
        <v>81</v>
      </c>
      <c r="H87" s="69">
        <v>66</v>
      </c>
      <c r="I87" s="70"/>
      <c r="J87" s="70"/>
      <c r="K87" s="70"/>
      <c r="L87" s="70"/>
      <c r="M87" s="70"/>
      <c r="N87" s="70"/>
    </row>
    <row r="88" spans="7:14" ht="15.75" x14ac:dyDescent="0.2">
      <c r="G88" s="70">
        <v>82</v>
      </c>
      <c r="H88" s="69">
        <v>107</v>
      </c>
      <c r="I88" s="70"/>
      <c r="J88" s="70"/>
      <c r="K88" s="70"/>
      <c r="L88" s="70"/>
      <c r="M88" s="70"/>
      <c r="N88" s="70"/>
    </row>
    <row r="89" spans="7:14" ht="15.75" x14ac:dyDescent="0.2">
      <c r="G89" s="70">
        <v>83</v>
      </c>
      <c r="H89" s="69">
        <v>102</v>
      </c>
      <c r="I89" s="70"/>
      <c r="J89" s="70"/>
      <c r="K89" s="70"/>
      <c r="L89" s="70"/>
      <c r="M89" s="70"/>
      <c r="N89" s="70"/>
    </row>
    <row r="90" spans="7:14" ht="15.75" x14ac:dyDescent="0.2">
      <c r="G90" s="70">
        <v>84</v>
      </c>
      <c r="H90" s="69">
        <v>69</v>
      </c>
      <c r="I90" s="70"/>
      <c r="J90" s="70"/>
      <c r="K90" s="70"/>
      <c r="L90" s="70"/>
      <c r="M90" s="70"/>
      <c r="N90" s="70"/>
    </row>
    <row r="91" spans="7:14" ht="15.75" x14ac:dyDescent="0.2">
      <c r="G91" s="70">
        <v>85</v>
      </c>
      <c r="H91" s="69">
        <v>91</v>
      </c>
      <c r="I91" s="70"/>
      <c r="J91" s="70"/>
      <c r="K91" s="70"/>
      <c r="L91" s="70"/>
      <c r="M91" s="70"/>
      <c r="N91" s="70"/>
    </row>
    <row r="92" spans="7:14" ht="15.75" x14ac:dyDescent="0.2">
      <c r="G92" s="70">
        <v>86</v>
      </c>
      <c r="H92" s="69">
        <v>88</v>
      </c>
      <c r="I92" s="70"/>
      <c r="J92" s="70"/>
      <c r="K92" s="70"/>
      <c r="L92" s="70"/>
      <c r="M92" s="70"/>
      <c r="N92" s="70"/>
    </row>
    <row r="93" spans="7:14" ht="15.75" x14ac:dyDescent="0.2">
      <c r="G93" s="70">
        <v>87</v>
      </c>
      <c r="H93" s="69">
        <v>74</v>
      </c>
      <c r="I93" s="70"/>
      <c r="J93" s="70"/>
      <c r="K93" s="70"/>
      <c r="L93" s="70"/>
      <c r="M93" s="70"/>
      <c r="N93" s="70"/>
    </row>
    <row r="94" spans="7:14" ht="15.75" x14ac:dyDescent="0.2">
      <c r="G94" s="70">
        <v>88</v>
      </c>
      <c r="H94" s="69">
        <v>83</v>
      </c>
      <c r="I94" s="70"/>
      <c r="J94" s="70"/>
      <c r="K94" s="70"/>
      <c r="L94" s="70"/>
      <c r="M94" s="70"/>
      <c r="N94" s="70"/>
    </row>
    <row r="95" spans="7:14" ht="15.75" x14ac:dyDescent="0.2">
      <c r="G95" s="70">
        <v>89</v>
      </c>
      <c r="H95" s="69">
        <v>97</v>
      </c>
      <c r="I95" s="70"/>
      <c r="J95" s="70"/>
      <c r="K95" s="70"/>
      <c r="L95" s="70"/>
      <c r="M95" s="70"/>
      <c r="N95" s="70"/>
    </row>
    <row r="96" spans="7:14" ht="15.75" x14ac:dyDescent="0.2">
      <c r="G96" s="70">
        <v>90</v>
      </c>
      <c r="H96" s="69">
        <v>92</v>
      </c>
      <c r="I96" s="70"/>
      <c r="J96" s="70"/>
      <c r="K96" s="70"/>
      <c r="L96" s="70"/>
      <c r="M96" s="70"/>
      <c r="N96" s="70"/>
    </row>
    <row r="97" spans="7:14" ht="15.75" x14ac:dyDescent="0.2">
      <c r="G97" s="70">
        <v>91</v>
      </c>
      <c r="H97" s="69">
        <v>97</v>
      </c>
      <c r="I97" s="70"/>
      <c r="J97" s="70"/>
      <c r="K97" s="70"/>
      <c r="L97" s="70"/>
      <c r="M97" s="70"/>
      <c r="N97" s="70"/>
    </row>
    <row r="98" spans="7:14" ht="15.75" x14ac:dyDescent="0.2">
      <c r="G98" s="70">
        <v>92</v>
      </c>
      <c r="H98" s="69">
        <v>58</v>
      </c>
      <c r="I98" s="70"/>
      <c r="J98" s="70"/>
      <c r="K98" s="70"/>
      <c r="L98" s="70"/>
      <c r="M98" s="70"/>
      <c r="N98" s="70"/>
    </row>
    <row r="99" spans="7:14" ht="15.75" x14ac:dyDescent="0.2">
      <c r="G99" s="70">
        <v>93</v>
      </c>
      <c r="H99" s="69">
        <v>109</v>
      </c>
      <c r="I99" s="70"/>
      <c r="J99" s="70"/>
      <c r="K99" s="70"/>
      <c r="L99" s="70"/>
      <c r="M99" s="70"/>
      <c r="N99" s="70"/>
    </row>
    <row r="100" spans="7:14" ht="15.75" x14ac:dyDescent="0.2">
      <c r="G100" s="70">
        <v>94</v>
      </c>
      <c r="H100" s="69">
        <v>94</v>
      </c>
      <c r="I100" s="70"/>
      <c r="J100" s="70"/>
      <c r="K100" s="70"/>
      <c r="L100" s="70"/>
      <c r="M100" s="70"/>
      <c r="N100" s="70"/>
    </row>
    <row r="101" spans="7:14" ht="15.75" x14ac:dyDescent="0.2">
      <c r="G101" s="70">
        <v>95</v>
      </c>
      <c r="H101" s="69">
        <v>102</v>
      </c>
      <c r="I101" s="70"/>
      <c r="J101" s="70"/>
      <c r="K101" s="70"/>
      <c r="L101" s="70"/>
      <c r="M101" s="70"/>
      <c r="N101" s="70"/>
    </row>
    <row r="102" spans="7:14" ht="15.75" x14ac:dyDescent="0.2">
      <c r="G102" s="70">
        <v>96</v>
      </c>
      <c r="H102" s="69">
        <v>81</v>
      </c>
      <c r="I102" s="70"/>
      <c r="J102" s="70"/>
      <c r="K102" s="70"/>
      <c r="L102" s="70"/>
      <c r="M102" s="70"/>
      <c r="N102" s="70"/>
    </row>
    <row r="103" spans="7:14" ht="15.75" x14ac:dyDescent="0.2">
      <c r="G103" s="70">
        <v>97</v>
      </c>
      <c r="H103" s="69">
        <v>87</v>
      </c>
      <c r="I103" s="70"/>
      <c r="J103" s="70"/>
      <c r="K103" s="70"/>
      <c r="L103" s="70"/>
      <c r="M103" s="70"/>
      <c r="N103" s="70"/>
    </row>
    <row r="104" spans="7:14" ht="15.75" x14ac:dyDescent="0.2">
      <c r="G104" s="70">
        <v>98</v>
      </c>
      <c r="H104" s="69">
        <v>95</v>
      </c>
      <c r="I104" s="70"/>
      <c r="J104" s="70"/>
      <c r="K104" s="70"/>
      <c r="L104" s="70"/>
      <c r="M104" s="70"/>
      <c r="N104" s="70"/>
    </row>
    <row r="105" spans="7:14" ht="15.75" x14ac:dyDescent="0.2">
      <c r="G105" s="70">
        <v>99</v>
      </c>
      <c r="H105" s="69">
        <v>113</v>
      </c>
      <c r="I105" s="70"/>
      <c r="J105" s="70"/>
      <c r="K105" s="70"/>
      <c r="L105" s="70"/>
      <c r="M105" s="70"/>
      <c r="N105" s="70"/>
    </row>
    <row r="106" spans="7:14" ht="15.75" x14ac:dyDescent="0.2">
      <c r="G106" s="70">
        <v>100</v>
      </c>
      <c r="H106" s="69">
        <v>56</v>
      </c>
      <c r="I106" s="70"/>
      <c r="J106" s="70"/>
      <c r="K106" s="70"/>
      <c r="L106" s="70"/>
      <c r="M106" s="70"/>
      <c r="N106" s="70"/>
    </row>
    <row r="107" spans="7:14" ht="15.75" x14ac:dyDescent="0.2">
      <c r="G107" s="70">
        <v>101</v>
      </c>
      <c r="H107" s="69">
        <v>124</v>
      </c>
      <c r="I107" s="70"/>
      <c r="J107" s="70"/>
      <c r="K107" s="70"/>
      <c r="L107" s="70"/>
      <c r="M107" s="70"/>
      <c r="N107" s="70"/>
    </row>
    <row r="108" spans="7:14" ht="15.75" x14ac:dyDescent="0.2">
      <c r="G108" s="70">
        <v>102</v>
      </c>
      <c r="H108" s="69">
        <v>82</v>
      </c>
      <c r="I108" s="70"/>
      <c r="J108" s="70"/>
      <c r="K108" s="70"/>
      <c r="L108" s="70"/>
      <c r="M108" s="70"/>
      <c r="N108" s="70"/>
    </row>
    <row r="109" spans="7:14" ht="15.75" x14ac:dyDescent="0.2">
      <c r="G109" s="70">
        <v>103</v>
      </c>
      <c r="H109" s="69">
        <v>77</v>
      </c>
      <c r="I109" s="70"/>
      <c r="J109" s="70"/>
      <c r="K109" s="70"/>
      <c r="L109" s="70"/>
      <c r="M109" s="70"/>
      <c r="N109" s="70"/>
    </row>
    <row r="110" spans="7:14" ht="15.75" x14ac:dyDescent="0.2">
      <c r="G110" s="70">
        <v>104</v>
      </c>
      <c r="H110" s="69">
        <v>94</v>
      </c>
      <c r="I110" s="70"/>
      <c r="J110" s="70"/>
      <c r="K110" s="70"/>
      <c r="L110" s="70"/>
      <c r="M110" s="70"/>
      <c r="N110" s="70"/>
    </row>
    <row r="111" spans="7:14" ht="15.75" x14ac:dyDescent="0.2">
      <c r="G111" s="70">
        <v>105</v>
      </c>
      <c r="H111" s="69">
        <v>105</v>
      </c>
      <c r="I111" s="70"/>
      <c r="J111" s="70"/>
      <c r="K111" s="70"/>
      <c r="L111" s="70"/>
      <c r="M111" s="70"/>
      <c r="N111" s="70"/>
    </row>
    <row r="112" spans="7:14" ht="15.75" x14ac:dyDescent="0.2">
      <c r="G112" s="70">
        <v>106</v>
      </c>
      <c r="H112" s="69">
        <v>87</v>
      </c>
      <c r="I112" s="70"/>
      <c r="J112" s="70"/>
      <c r="K112" s="70"/>
      <c r="L112" s="70"/>
      <c r="M112" s="70"/>
      <c r="N112" s="70"/>
    </row>
    <row r="113" spans="7:14" ht="15.75" x14ac:dyDescent="0.2">
      <c r="G113" s="70">
        <v>107</v>
      </c>
      <c r="H113" s="69">
        <v>648</v>
      </c>
      <c r="I113" s="70"/>
      <c r="J113" s="70">
        <v>573</v>
      </c>
      <c r="K113" s="70"/>
      <c r="L113" s="70"/>
      <c r="M113" s="70"/>
      <c r="N113" s="70"/>
    </row>
    <row r="114" spans="7:14" ht="15.75" x14ac:dyDescent="0.2">
      <c r="G114" s="70">
        <v>108</v>
      </c>
      <c r="H114" s="69">
        <v>111</v>
      </c>
      <c r="I114" s="70"/>
      <c r="J114" s="70"/>
      <c r="K114" s="70"/>
      <c r="L114" s="70"/>
      <c r="M114" s="70"/>
      <c r="N114" s="70"/>
    </row>
    <row r="115" spans="7:14" ht="15.75" x14ac:dyDescent="0.2">
      <c r="G115" s="70">
        <v>109</v>
      </c>
      <c r="H115" s="69">
        <v>107</v>
      </c>
      <c r="I115" s="70"/>
      <c r="J115" s="70"/>
      <c r="K115" s="70"/>
      <c r="L115" s="70"/>
      <c r="M115" s="70"/>
      <c r="N115" s="70"/>
    </row>
    <row r="116" spans="7:14" ht="15.75" x14ac:dyDescent="0.2">
      <c r="G116" s="70">
        <v>110</v>
      </c>
      <c r="H116" s="69">
        <v>102</v>
      </c>
      <c r="I116" s="70"/>
      <c r="J116" s="70"/>
      <c r="K116" s="70"/>
      <c r="L116" s="70"/>
      <c r="M116" s="70"/>
      <c r="N116" s="70"/>
    </row>
    <row r="117" spans="7:14" ht="15.75" x14ac:dyDescent="0.2">
      <c r="G117" s="70">
        <v>111</v>
      </c>
      <c r="H117" s="69">
        <v>99</v>
      </c>
      <c r="I117" s="70"/>
      <c r="J117" s="70"/>
      <c r="K117" s="70"/>
      <c r="L117" s="70"/>
      <c r="M117" s="70"/>
      <c r="N117" s="70"/>
    </row>
    <row r="118" spans="7:14" ht="15.75" x14ac:dyDescent="0.2">
      <c r="G118" s="70">
        <v>112</v>
      </c>
      <c r="H118" s="69">
        <v>84</v>
      </c>
      <c r="I118" s="70"/>
      <c r="J118" s="70"/>
      <c r="K118" s="70"/>
      <c r="L118" s="70"/>
      <c r="M118" s="70"/>
      <c r="N118" s="70"/>
    </row>
    <row r="119" spans="7:14" ht="15.75" x14ac:dyDescent="0.2">
      <c r="G119" s="70">
        <v>113</v>
      </c>
      <c r="H119" s="69">
        <v>121</v>
      </c>
      <c r="I119" s="70"/>
      <c r="J119" s="70"/>
      <c r="K119" s="70"/>
      <c r="L119" s="70"/>
      <c r="M119" s="70"/>
      <c r="N119" s="70"/>
    </row>
    <row r="120" spans="7:14" ht="15.75" x14ac:dyDescent="0.2">
      <c r="G120" s="70">
        <v>114</v>
      </c>
      <c r="H120" s="69">
        <v>76</v>
      </c>
      <c r="I120" s="70"/>
      <c r="J120" s="70"/>
      <c r="K120" s="70"/>
      <c r="L120" s="70"/>
      <c r="M120" s="70"/>
      <c r="N120" s="70"/>
    </row>
    <row r="121" spans="7:14" ht="15.75" x14ac:dyDescent="0.2">
      <c r="G121" s="70">
        <v>115</v>
      </c>
      <c r="H121" s="69">
        <v>81</v>
      </c>
      <c r="I121" s="70"/>
      <c r="J121" s="70"/>
      <c r="K121" s="70"/>
      <c r="L121" s="70"/>
      <c r="M121" s="70"/>
      <c r="N121" s="70"/>
    </row>
    <row r="122" spans="7:14" ht="15.75" x14ac:dyDescent="0.2">
      <c r="G122" s="70">
        <v>116</v>
      </c>
      <c r="H122" s="69">
        <v>108</v>
      </c>
      <c r="I122" s="70"/>
      <c r="J122" s="70"/>
      <c r="K122" s="70"/>
      <c r="L122" s="70"/>
      <c r="M122" s="70"/>
      <c r="N122" s="70"/>
    </row>
    <row r="123" spans="7:14" ht="15.75" x14ac:dyDescent="0.2">
      <c r="G123" s="70">
        <v>117</v>
      </c>
      <c r="H123" s="69">
        <v>75</v>
      </c>
      <c r="I123" s="70"/>
      <c r="J123" s="70"/>
      <c r="K123" s="70"/>
      <c r="L123" s="70"/>
      <c r="M123" s="70"/>
      <c r="N123" s="70"/>
    </row>
    <row r="124" spans="7:14" ht="15.75" x14ac:dyDescent="0.2">
      <c r="G124" s="70">
        <v>118</v>
      </c>
      <c r="H124" s="69">
        <v>72</v>
      </c>
      <c r="I124" s="70"/>
      <c r="J124" s="70"/>
      <c r="K124" s="70"/>
      <c r="L124" s="70"/>
      <c r="M124" s="70"/>
      <c r="N124" s="70"/>
    </row>
    <row r="125" spans="7:14" ht="15.75" x14ac:dyDescent="0.2">
      <c r="G125" s="70">
        <v>119</v>
      </c>
      <c r="H125" s="69">
        <v>87</v>
      </c>
      <c r="I125" s="70"/>
      <c r="J125" s="70"/>
      <c r="K125" s="70"/>
      <c r="L125" s="70"/>
      <c r="M125" s="70"/>
      <c r="N125" s="70"/>
    </row>
    <row r="126" spans="7:14" ht="15.75" x14ac:dyDescent="0.2">
      <c r="G126" s="70">
        <v>120</v>
      </c>
      <c r="H126" s="69">
        <v>114</v>
      </c>
      <c r="I126" s="70"/>
      <c r="J126" s="70"/>
      <c r="K126" s="70"/>
      <c r="L126" s="70"/>
      <c r="M126" s="70"/>
      <c r="N126" s="70"/>
    </row>
    <row r="127" spans="7:14" ht="15.75" x14ac:dyDescent="0.2">
      <c r="G127" s="70">
        <v>121</v>
      </c>
      <c r="H127" s="69">
        <v>91</v>
      </c>
      <c r="I127" s="70"/>
      <c r="J127" s="70"/>
      <c r="K127" s="70"/>
      <c r="L127" s="70"/>
      <c r="M127" s="70"/>
      <c r="N127" s="70"/>
    </row>
    <row r="128" spans="7:14" ht="15.75" x14ac:dyDescent="0.2">
      <c r="G128" s="70">
        <v>122</v>
      </c>
      <c r="H128" s="69">
        <v>81</v>
      </c>
      <c r="I128" s="70"/>
      <c r="J128" s="70"/>
      <c r="K128" s="70"/>
      <c r="L128" s="70"/>
      <c r="M128" s="70"/>
      <c r="N128" s="70"/>
    </row>
    <row r="129" spans="7:14" ht="15.75" x14ac:dyDescent="0.2">
      <c r="G129" s="70">
        <v>123</v>
      </c>
      <c r="H129" s="69">
        <v>87</v>
      </c>
      <c r="I129" s="70"/>
      <c r="J129" s="70"/>
      <c r="K129" s="70"/>
      <c r="L129" s="70"/>
      <c r="M129" s="70"/>
      <c r="N129" s="70"/>
    </row>
    <row r="130" spans="7:14" ht="15.75" x14ac:dyDescent="0.2">
      <c r="G130" s="70">
        <v>124</v>
      </c>
      <c r="H130" s="69">
        <v>124</v>
      </c>
      <c r="I130" s="70"/>
      <c r="J130" s="70"/>
      <c r="K130" s="70"/>
      <c r="L130" s="70"/>
      <c r="M130" s="70"/>
      <c r="N130" s="70"/>
    </row>
    <row r="131" spans="7:14" ht="15.75" x14ac:dyDescent="0.2">
      <c r="G131" s="70">
        <v>125</v>
      </c>
      <c r="H131" s="69">
        <v>127</v>
      </c>
      <c r="I131" s="70"/>
      <c r="J131" s="70"/>
      <c r="K131" s="70"/>
      <c r="L131" s="70"/>
      <c r="M131" s="70"/>
      <c r="N131" s="70"/>
    </row>
    <row r="132" spans="7:14" ht="15.75" x14ac:dyDescent="0.2">
      <c r="G132" s="70">
        <v>126</v>
      </c>
      <c r="H132" s="69">
        <v>95</v>
      </c>
      <c r="I132" s="70"/>
      <c r="J132" s="70"/>
      <c r="K132" s="70"/>
      <c r="L132" s="70"/>
      <c r="M132" s="70"/>
      <c r="N132" s="70"/>
    </row>
    <row r="133" spans="7:14" ht="15.75" x14ac:dyDescent="0.2">
      <c r="G133" s="70">
        <v>127</v>
      </c>
      <c r="H133" s="69">
        <v>93</v>
      </c>
      <c r="I133" s="70"/>
      <c r="J133" s="70"/>
      <c r="K133" s="70"/>
      <c r="L133" s="70"/>
      <c r="M133" s="70"/>
      <c r="N133" s="70"/>
    </row>
    <row r="134" spans="7:14" ht="15.75" x14ac:dyDescent="0.2">
      <c r="G134" s="70">
        <v>128</v>
      </c>
      <c r="H134" s="69">
        <v>108</v>
      </c>
      <c r="I134" s="70"/>
      <c r="J134" s="70"/>
      <c r="K134" s="70"/>
      <c r="L134" s="70"/>
      <c r="M134" s="70"/>
      <c r="N134" s="70"/>
    </row>
    <row r="135" spans="7:14" ht="15.75" x14ac:dyDescent="0.2">
      <c r="G135" s="70">
        <v>129</v>
      </c>
      <c r="H135" s="69">
        <v>76</v>
      </c>
      <c r="I135" s="70"/>
      <c r="J135" s="70"/>
      <c r="K135" s="70"/>
      <c r="L135" s="70"/>
      <c r="M135" s="70"/>
      <c r="N135" s="70"/>
    </row>
    <row r="136" spans="7:14" ht="15.75" x14ac:dyDescent="0.2">
      <c r="G136" s="70">
        <v>130</v>
      </c>
      <c r="H136" s="69">
        <v>124</v>
      </c>
      <c r="I136" s="70"/>
      <c r="J136" s="70"/>
      <c r="K136" s="70"/>
      <c r="L136" s="70"/>
      <c r="M136" s="70"/>
      <c r="N136" s="70"/>
    </row>
    <row r="137" spans="7:14" ht="15.75" x14ac:dyDescent="0.2">
      <c r="G137" s="70">
        <v>131</v>
      </c>
      <c r="H137" s="69">
        <v>115</v>
      </c>
      <c r="I137" s="70"/>
      <c r="J137" s="70"/>
      <c r="K137" s="70"/>
      <c r="L137" s="70"/>
      <c r="M137" s="70"/>
      <c r="N137" s="70"/>
    </row>
    <row r="138" spans="7:14" ht="15.75" x14ac:dyDescent="0.2">
      <c r="G138" s="70">
        <v>132</v>
      </c>
      <c r="H138" s="69">
        <v>83</v>
      </c>
      <c r="I138" s="70"/>
      <c r="J138" s="70"/>
      <c r="K138" s="70"/>
      <c r="L138" s="70"/>
      <c r="M138" s="70"/>
      <c r="N138" s="70"/>
    </row>
    <row r="139" spans="7:14" ht="15.75" x14ac:dyDescent="0.2">
      <c r="G139" s="70">
        <v>133</v>
      </c>
      <c r="H139" s="69">
        <v>89</v>
      </c>
      <c r="I139" s="70"/>
      <c r="J139" s="70"/>
      <c r="K139" s="70"/>
      <c r="L139" s="70"/>
      <c r="M139" s="70"/>
      <c r="N139" s="70"/>
    </row>
    <row r="140" spans="7:14" ht="15.75" x14ac:dyDescent="0.2">
      <c r="G140" s="70">
        <v>134</v>
      </c>
      <c r="H140" s="69">
        <v>103</v>
      </c>
      <c r="I140" s="70"/>
      <c r="J140" s="70"/>
      <c r="K140" s="70"/>
      <c r="L140" s="70"/>
      <c r="M140" s="70"/>
      <c r="N140" s="70"/>
    </row>
    <row r="141" spans="7:14" ht="15.75" x14ac:dyDescent="0.2">
      <c r="G141" s="70">
        <v>135</v>
      </c>
      <c r="H141" s="69">
        <v>117</v>
      </c>
      <c r="I141" s="70"/>
      <c r="J141" s="70"/>
      <c r="K141" s="70"/>
      <c r="L141" s="70"/>
      <c r="M141" s="70"/>
      <c r="N141" s="70"/>
    </row>
    <row r="142" spans="7:14" ht="15.75" x14ac:dyDescent="0.2">
      <c r="G142" s="70">
        <v>136</v>
      </c>
      <c r="H142" s="69">
        <v>93</v>
      </c>
      <c r="I142" s="70"/>
      <c r="J142" s="70"/>
      <c r="K142" s="70"/>
      <c r="L142" s="70"/>
      <c r="M142" s="70"/>
      <c r="N142" s="70"/>
    </row>
    <row r="143" spans="7:14" ht="15.75" x14ac:dyDescent="0.2">
      <c r="G143" s="70">
        <v>137</v>
      </c>
      <c r="H143" s="69">
        <v>112</v>
      </c>
      <c r="I143" s="70"/>
      <c r="J143" s="70"/>
      <c r="K143" s="70"/>
      <c r="L143" s="70"/>
      <c r="M143" s="70"/>
      <c r="N143" s="70"/>
    </row>
    <row r="144" spans="7:14" ht="15.75" x14ac:dyDescent="0.2">
      <c r="G144" s="70">
        <v>138</v>
      </c>
      <c r="H144" s="69">
        <v>107</v>
      </c>
      <c r="I144" s="70"/>
      <c r="J144" s="70"/>
      <c r="K144" s="70"/>
      <c r="L144" s="70"/>
      <c r="M144" s="70"/>
      <c r="N144" s="70"/>
    </row>
    <row r="145" spans="7:14" ht="15.75" x14ac:dyDescent="0.2">
      <c r="G145" s="70">
        <v>139</v>
      </c>
      <c r="H145" s="69">
        <v>94</v>
      </c>
      <c r="I145" s="70"/>
      <c r="J145" s="70"/>
      <c r="K145" s="70"/>
      <c r="L145" s="70"/>
      <c r="M145" s="70"/>
      <c r="N145" s="70"/>
    </row>
    <row r="146" spans="7:14" ht="15.75" x14ac:dyDescent="0.2">
      <c r="G146" s="70">
        <v>140</v>
      </c>
      <c r="H146" s="69">
        <v>75</v>
      </c>
      <c r="I146" s="70"/>
      <c r="J146" s="70"/>
      <c r="K146" s="70"/>
      <c r="L146" s="70"/>
      <c r="M146" s="70"/>
      <c r="N146" s="70"/>
    </row>
    <row r="147" spans="7:14" ht="15.75" x14ac:dyDescent="0.2">
      <c r="G147" s="70">
        <v>141</v>
      </c>
      <c r="H147" s="69">
        <v>99</v>
      </c>
      <c r="I147" s="70"/>
      <c r="J147" s="70"/>
      <c r="K147" s="70"/>
      <c r="L147" s="70"/>
      <c r="M147" s="70"/>
      <c r="N147" s="70"/>
    </row>
    <row r="148" spans="7:14" ht="15.75" x14ac:dyDescent="0.2">
      <c r="G148" s="70">
        <v>142</v>
      </c>
      <c r="H148" s="69">
        <v>127</v>
      </c>
      <c r="I148" s="70"/>
      <c r="J148" s="70"/>
      <c r="K148" s="70"/>
      <c r="L148" s="70"/>
      <c r="M148" s="70"/>
      <c r="N148" s="70"/>
    </row>
    <row r="149" spans="7:14" ht="15.75" x14ac:dyDescent="0.2">
      <c r="G149" s="70">
        <v>143</v>
      </c>
      <c r="H149" s="69">
        <v>822</v>
      </c>
      <c r="I149" s="70"/>
      <c r="J149" s="70">
        <v>727</v>
      </c>
      <c r="K149" s="70"/>
      <c r="L149" s="70"/>
      <c r="M149" s="70"/>
      <c r="N149" s="70"/>
    </row>
    <row r="150" spans="7:14" ht="15.75" x14ac:dyDescent="0.2">
      <c r="G150" s="70">
        <v>144</v>
      </c>
      <c r="H150" s="69">
        <v>98</v>
      </c>
      <c r="I150" s="70"/>
      <c r="J150" s="70"/>
      <c r="K150" s="70"/>
      <c r="L150" s="70"/>
      <c r="M150" s="70"/>
      <c r="N150" s="70"/>
    </row>
    <row r="151" spans="7:14" ht="15.75" x14ac:dyDescent="0.2">
      <c r="G151" s="70">
        <v>145</v>
      </c>
      <c r="H151" s="69">
        <v>54</v>
      </c>
      <c r="I151" s="70"/>
      <c r="J151" s="70"/>
      <c r="K151" s="70"/>
      <c r="L151" s="70"/>
      <c r="M151" s="70"/>
      <c r="N151" s="70"/>
    </row>
    <row r="152" spans="7:14" ht="15.75" x14ac:dyDescent="0.2">
      <c r="G152" s="70">
        <v>146</v>
      </c>
      <c r="H152" s="69">
        <v>115</v>
      </c>
      <c r="I152" s="70"/>
      <c r="J152" s="70"/>
      <c r="K152" s="70"/>
      <c r="L152" s="70"/>
      <c r="M152" s="70"/>
      <c r="N152" s="70"/>
    </row>
    <row r="153" spans="7:14" ht="15.75" x14ac:dyDescent="0.2">
      <c r="G153" s="70">
        <v>147</v>
      </c>
      <c r="H153" s="69">
        <v>96</v>
      </c>
      <c r="I153" s="70"/>
      <c r="J153" s="70"/>
      <c r="K153" s="70"/>
      <c r="L153" s="70"/>
      <c r="M153" s="70"/>
      <c r="N153" s="70"/>
    </row>
    <row r="154" spans="7:14" ht="15.75" x14ac:dyDescent="0.2">
      <c r="G154" s="70">
        <v>148</v>
      </c>
      <c r="H154" s="69">
        <v>83</v>
      </c>
      <c r="I154" s="70"/>
      <c r="J154" s="70"/>
      <c r="K154" s="70"/>
      <c r="L154" s="70"/>
      <c r="M154" s="70"/>
      <c r="N154" s="70"/>
    </row>
    <row r="155" spans="7:14" ht="15.75" x14ac:dyDescent="0.2">
      <c r="G155" s="70">
        <v>149</v>
      </c>
      <c r="H155" s="69">
        <v>89</v>
      </c>
      <c r="I155" s="70"/>
      <c r="J155" s="70"/>
      <c r="K155" s="70"/>
      <c r="L155" s="70"/>
      <c r="M155" s="70"/>
      <c r="N155" s="70"/>
    </row>
    <row r="156" spans="7:14" ht="15.75" x14ac:dyDescent="0.2">
      <c r="G156" s="70">
        <v>150</v>
      </c>
      <c r="H156" s="69">
        <v>97</v>
      </c>
      <c r="I156" s="70"/>
      <c r="J156" s="70"/>
      <c r="K156" s="70"/>
      <c r="L156" s="70"/>
      <c r="M156" s="70"/>
      <c r="N156" s="70"/>
    </row>
    <row r="157" spans="7:14" ht="15.75" x14ac:dyDescent="0.2">
      <c r="G157" s="70">
        <v>151</v>
      </c>
      <c r="H157" s="69">
        <v>102</v>
      </c>
      <c r="I157" s="70"/>
      <c r="J157" s="70"/>
      <c r="K157" s="70"/>
      <c r="L157" s="70"/>
      <c r="M157" s="70"/>
      <c r="N157" s="70"/>
    </row>
    <row r="158" spans="7:14" ht="15.75" x14ac:dyDescent="0.2">
      <c r="G158" s="70">
        <v>152</v>
      </c>
      <c r="H158" s="69">
        <v>104</v>
      </c>
      <c r="I158" s="70"/>
      <c r="J158" s="70"/>
      <c r="K158" s="70"/>
      <c r="L158" s="70"/>
      <c r="M158" s="70"/>
      <c r="N158" s="70"/>
    </row>
    <row r="159" spans="7:14" ht="15.75" x14ac:dyDescent="0.2">
      <c r="G159" s="70">
        <v>153</v>
      </c>
      <c r="H159" s="69">
        <v>95</v>
      </c>
      <c r="I159" s="70"/>
      <c r="J159" s="70"/>
      <c r="K159" s="70"/>
      <c r="L159" s="70"/>
      <c r="M159" s="70"/>
      <c r="N159" s="70"/>
    </row>
    <row r="160" spans="7:14" ht="15.75" x14ac:dyDescent="0.2">
      <c r="G160" s="70">
        <v>154</v>
      </c>
      <c r="H160" s="69">
        <v>76</v>
      </c>
      <c r="I160" s="70"/>
      <c r="J160" s="70"/>
      <c r="K160" s="70"/>
      <c r="L160" s="70"/>
      <c r="M160" s="70"/>
      <c r="N160" s="70"/>
    </row>
    <row r="161" spans="7:14" ht="15.75" x14ac:dyDescent="0.2">
      <c r="G161" s="70">
        <v>155</v>
      </c>
      <c r="H161" s="69">
        <v>109</v>
      </c>
      <c r="I161" s="70"/>
      <c r="J161" s="70"/>
      <c r="K161" s="70"/>
      <c r="L161" s="70"/>
      <c r="M161" s="70"/>
      <c r="N161" s="70"/>
    </row>
    <row r="162" spans="7:14" ht="15.75" x14ac:dyDescent="0.2">
      <c r="G162" s="70">
        <v>156</v>
      </c>
      <c r="H162" s="69">
        <v>118</v>
      </c>
      <c r="I162" s="70"/>
      <c r="J162" s="70"/>
      <c r="K162" s="70"/>
      <c r="L162" s="70"/>
      <c r="M162" s="70"/>
      <c r="N162" s="70"/>
    </row>
    <row r="163" spans="7:14" ht="15.75" x14ac:dyDescent="0.2">
      <c r="G163" s="70">
        <v>157</v>
      </c>
      <c r="H163" s="69">
        <v>114</v>
      </c>
      <c r="I163" s="70"/>
      <c r="J163" s="70"/>
      <c r="K163" s="70"/>
      <c r="L163" s="70"/>
      <c r="M163" s="70"/>
      <c r="N163" s="70"/>
    </row>
    <row r="164" spans="7:14" ht="15.75" x14ac:dyDescent="0.2">
      <c r="G164" s="70">
        <v>158</v>
      </c>
      <c r="H164" s="69">
        <v>91</v>
      </c>
      <c r="I164" s="70"/>
      <c r="J164" s="70"/>
      <c r="K164" s="70"/>
      <c r="L164" s="70"/>
      <c r="M164" s="70"/>
      <c r="N164" s="70"/>
    </row>
    <row r="165" spans="7:14" ht="15.75" x14ac:dyDescent="0.2">
      <c r="G165" s="70">
        <v>159</v>
      </c>
      <c r="H165" s="69">
        <v>62</v>
      </c>
      <c r="I165" s="70"/>
      <c r="J165" s="70"/>
      <c r="K165" s="70"/>
      <c r="L165" s="70"/>
      <c r="M165" s="70"/>
      <c r="N165" s="70"/>
    </row>
    <row r="166" spans="7:14" ht="15.75" x14ac:dyDescent="0.2">
      <c r="G166" s="70">
        <v>160</v>
      </c>
      <c r="H166" s="69">
        <v>91</v>
      </c>
      <c r="I166" s="70"/>
      <c r="J166" s="70"/>
      <c r="K166" s="70"/>
      <c r="L166" s="70"/>
      <c r="M166" s="70"/>
      <c r="N166" s="70"/>
    </row>
    <row r="167" spans="7:14" ht="15.75" x14ac:dyDescent="0.2">
      <c r="G167" s="70">
        <v>161</v>
      </c>
      <c r="H167" s="69">
        <v>88</v>
      </c>
      <c r="I167" s="70"/>
      <c r="J167" s="70"/>
      <c r="K167" s="70"/>
      <c r="L167" s="70"/>
      <c r="M167" s="70"/>
      <c r="N167" s="70"/>
    </row>
    <row r="168" spans="7:14" ht="15.75" x14ac:dyDescent="0.2">
      <c r="G168" s="70">
        <v>162</v>
      </c>
      <c r="H168" s="69">
        <v>104</v>
      </c>
      <c r="I168" s="70"/>
      <c r="J168" s="70"/>
      <c r="K168" s="70"/>
      <c r="L168" s="70"/>
      <c r="M168" s="70"/>
      <c r="N168" s="70"/>
    </row>
    <row r="169" spans="7:14" ht="15.75" x14ac:dyDescent="0.2">
      <c r="G169" s="70">
        <v>163</v>
      </c>
      <c r="H169" s="69">
        <v>108</v>
      </c>
      <c r="I169" s="70"/>
      <c r="J169" s="70"/>
      <c r="K169" s="70"/>
      <c r="L169" s="70"/>
      <c r="M169" s="70"/>
      <c r="N169" s="70"/>
    </row>
    <row r="170" spans="7:14" ht="15.75" x14ac:dyDescent="0.2">
      <c r="G170" s="70">
        <v>164</v>
      </c>
      <c r="H170" s="69">
        <v>93</v>
      </c>
      <c r="I170" s="70"/>
      <c r="J170" s="70"/>
      <c r="K170" s="70"/>
      <c r="L170" s="70"/>
      <c r="M170" s="70"/>
      <c r="N170" s="70"/>
    </row>
    <row r="171" spans="7:14" ht="15.75" x14ac:dyDescent="0.2">
      <c r="G171" s="70">
        <v>165</v>
      </c>
      <c r="H171" s="69">
        <v>82</v>
      </c>
      <c r="I171" s="70"/>
      <c r="J171" s="70"/>
      <c r="K171" s="70"/>
      <c r="L171" s="70"/>
      <c r="M171" s="70"/>
      <c r="N171" s="70"/>
    </row>
    <row r="172" spans="7:14" ht="15.75" x14ac:dyDescent="0.2">
      <c r="G172" s="70">
        <v>166</v>
      </c>
      <c r="H172" s="69">
        <v>126</v>
      </c>
      <c r="I172" s="70"/>
      <c r="J172" s="70"/>
      <c r="K172" s="70"/>
      <c r="L172" s="70"/>
      <c r="M172" s="70"/>
      <c r="N172" s="70"/>
    </row>
    <row r="173" spans="7:14" ht="15.75" x14ac:dyDescent="0.2">
      <c r="G173" s="70">
        <v>167</v>
      </c>
      <c r="H173" s="69">
        <v>72</v>
      </c>
      <c r="I173" s="70"/>
      <c r="J173" s="70"/>
      <c r="K173" s="70"/>
      <c r="L173" s="70"/>
      <c r="M173" s="70"/>
      <c r="N173" s="70"/>
    </row>
    <row r="174" spans="7:14" ht="15.75" x14ac:dyDescent="0.2">
      <c r="G174" s="70">
        <v>168</v>
      </c>
      <c r="H174" s="69">
        <v>104</v>
      </c>
      <c r="I174" s="70"/>
      <c r="J174" s="70"/>
      <c r="K174" s="70"/>
      <c r="L174" s="70"/>
      <c r="M174" s="70"/>
      <c r="N174" s="70"/>
    </row>
    <row r="175" spans="7:14" ht="15.75" x14ac:dyDescent="0.2">
      <c r="G175" s="70">
        <v>169</v>
      </c>
      <c r="H175" s="69">
        <v>97</v>
      </c>
      <c r="I175" s="70"/>
      <c r="J175" s="70"/>
      <c r="K175" s="70"/>
      <c r="L175" s="70"/>
      <c r="M175" s="70"/>
      <c r="N175" s="70"/>
    </row>
    <row r="176" spans="7:14" ht="15.75" x14ac:dyDescent="0.2">
      <c r="G176" s="70">
        <v>170</v>
      </c>
      <c r="H176" s="69">
        <v>95</v>
      </c>
      <c r="I176" s="70"/>
      <c r="J176" s="70"/>
      <c r="K176" s="70"/>
      <c r="L176" s="70"/>
      <c r="M176" s="70"/>
      <c r="N176" s="70"/>
    </row>
    <row r="177" spans="7:14" ht="15.75" x14ac:dyDescent="0.2">
      <c r="G177" s="70">
        <v>171</v>
      </c>
      <c r="H177" s="69">
        <v>102</v>
      </c>
      <c r="I177" s="70"/>
      <c r="J177" s="70"/>
      <c r="K177" s="70"/>
      <c r="L177" s="70"/>
      <c r="M177" s="70"/>
      <c r="N177" s="70"/>
    </row>
    <row r="178" spans="7:14" ht="15.75" x14ac:dyDescent="0.2">
      <c r="G178" s="70">
        <v>172</v>
      </c>
      <c r="H178" s="69">
        <v>293</v>
      </c>
      <c r="I178" s="70"/>
      <c r="J178" s="70"/>
      <c r="K178" s="70">
        <v>171</v>
      </c>
      <c r="L178" s="70"/>
      <c r="M178" s="70"/>
      <c r="N178" s="70"/>
    </row>
    <row r="179" spans="7:14" ht="15.75" x14ac:dyDescent="0.2">
      <c r="G179" s="70">
        <v>173</v>
      </c>
      <c r="H179" s="69">
        <v>131</v>
      </c>
      <c r="I179" s="70"/>
      <c r="J179" s="70"/>
      <c r="K179" s="70"/>
      <c r="L179" s="70"/>
      <c r="M179" s="70"/>
      <c r="N179" s="70"/>
    </row>
    <row r="180" spans="7:14" ht="15.75" x14ac:dyDescent="0.2">
      <c r="G180" s="70">
        <v>174</v>
      </c>
      <c r="H180" s="69">
        <v>73</v>
      </c>
      <c r="I180" s="70"/>
      <c r="J180" s="70"/>
      <c r="K180" s="70"/>
      <c r="L180" s="70"/>
      <c r="M180" s="70"/>
      <c r="N180" s="70"/>
    </row>
    <row r="181" spans="7:14" ht="15.75" x14ac:dyDescent="0.2">
      <c r="G181" s="70">
        <v>175</v>
      </c>
      <c r="H181" s="69">
        <v>96</v>
      </c>
      <c r="I181" s="70"/>
      <c r="J181" s="70"/>
      <c r="K181" s="70"/>
      <c r="L181" s="70"/>
      <c r="M181" s="70"/>
      <c r="N181" s="70"/>
    </row>
    <row r="182" spans="7:14" ht="15.75" x14ac:dyDescent="0.2">
      <c r="G182" s="70">
        <v>176</v>
      </c>
      <c r="H182" s="69">
        <v>100</v>
      </c>
      <c r="I182" s="70"/>
      <c r="J182" s="70"/>
      <c r="K182" s="70"/>
      <c r="L182" s="70"/>
      <c r="M182" s="70"/>
      <c r="N182" s="70"/>
    </row>
    <row r="183" spans="7:14" ht="15.75" x14ac:dyDescent="0.2">
      <c r="G183" s="70">
        <v>177</v>
      </c>
      <c r="H183" s="69">
        <v>1087</v>
      </c>
      <c r="I183" s="70"/>
      <c r="J183" s="70"/>
      <c r="K183" s="70"/>
      <c r="L183" s="70"/>
      <c r="M183" s="70"/>
      <c r="N183" s="70"/>
    </row>
    <row r="184" spans="7:14" ht="15.75" x14ac:dyDescent="0.2">
      <c r="G184" s="70">
        <v>178</v>
      </c>
      <c r="H184" s="69">
        <v>94</v>
      </c>
      <c r="I184" s="70"/>
      <c r="J184" s="70"/>
      <c r="K184" s="70"/>
      <c r="L184" s="70"/>
      <c r="M184" s="70"/>
      <c r="N184" s="70"/>
    </row>
    <row r="185" spans="7:14" ht="15.75" x14ac:dyDescent="0.2">
      <c r="G185" s="70">
        <v>179</v>
      </c>
      <c r="H185" s="69">
        <v>99</v>
      </c>
      <c r="I185" s="70"/>
      <c r="J185" s="70"/>
      <c r="K185" s="70"/>
      <c r="L185" s="70"/>
      <c r="M185" s="70"/>
      <c r="N185" s="70"/>
    </row>
    <row r="186" spans="7:14" ht="15.75" x14ac:dyDescent="0.2">
      <c r="G186" s="70">
        <v>180</v>
      </c>
      <c r="H186" s="69">
        <v>108</v>
      </c>
      <c r="I186" s="70"/>
      <c r="J186" s="70"/>
      <c r="K186" s="70"/>
      <c r="L186" s="70"/>
      <c r="M186" s="70"/>
      <c r="N186" s="70"/>
    </row>
    <row r="187" spans="7:14" ht="15.75" x14ac:dyDescent="0.2">
      <c r="G187" s="70">
        <v>181</v>
      </c>
      <c r="H187" s="69">
        <v>116</v>
      </c>
      <c r="I187" s="70"/>
      <c r="J187" s="70"/>
      <c r="K187" s="70"/>
      <c r="L187" s="70"/>
      <c r="M187" s="70"/>
      <c r="N187" s="70"/>
    </row>
    <row r="188" spans="7:14" ht="15.75" x14ac:dyDescent="0.2">
      <c r="G188" s="70">
        <v>182</v>
      </c>
      <c r="H188" s="69">
        <v>108</v>
      </c>
      <c r="I188" s="70"/>
      <c r="J188" s="70"/>
      <c r="K188" s="70"/>
      <c r="L188" s="70"/>
      <c r="M188" s="70"/>
      <c r="N188" s="70"/>
    </row>
    <row r="189" spans="7:14" ht="15.75" x14ac:dyDescent="0.2">
      <c r="G189" s="70">
        <v>183</v>
      </c>
      <c r="H189" s="69">
        <v>574</v>
      </c>
      <c r="I189" s="70"/>
      <c r="J189" s="70">
        <v>493</v>
      </c>
      <c r="K189" s="70"/>
      <c r="L189" s="70"/>
      <c r="M189" s="70"/>
      <c r="N189" s="70"/>
    </row>
    <row r="190" spans="7:14" ht="15.75" x14ac:dyDescent="0.2">
      <c r="G190" s="70">
        <v>184</v>
      </c>
      <c r="H190" s="69">
        <v>94</v>
      </c>
      <c r="I190" s="70"/>
      <c r="J190" s="70"/>
      <c r="K190" s="70"/>
      <c r="L190" s="70"/>
      <c r="M190" s="70"/>
      <c r="N190" s="70"/>
    </row>
    <row r="191" spans="7:14" ht="15.75" x14ac:dyDescent="0.2">
      <c r="G191" s="70">
        <v>185</v>
      </c>
      <c r="H191" s="69">
        <v>97</v>
      </c>
      <c r="I191" s="70"/>
      <c r="J191" s="70"/>
      <c r="K191" s="70"/>
      <c r="L191" s="70"/>
      <c r="M191" s="70"/>
      <c r="N191" s="70"/>
    </row>
    <row r="192" spans="7:14" ht="15.75" x14ac:dyDescent="0.2">
      <c r="G192" s="70">
        <v>186</v>
      </c>
      <c r="H192" s="69">
        <v>109</v>
      </c>
      <c r="I192" s="70"/>
      <c r="J192" s="70"/>
      <c r="K192" s="70"/>
      <c r="L192" s="70"/>
      <c r="M192" s="70"/>
      <c r="N192" s="70"/>
    </row>
    <row r="193" spans="7:14" ht="15.75" x14ac:dyDescent="0.2">
      <c r="G193" s="70">
        <v>187</v>
      </c>
      <c r="H193" s="69">
        <v>73</v>
      </c>
      <c r="I193" s="70"/>
      <c r="J193" s="70"/>
      <c r="K193" s="70"/>
      <c r="L193" s="70"/>
      <c r="M193" s="70"/>
      <c r="N193" s="70"/>
    </row>
    <row r="194" spans="7:14" ht="15.75" x14ac:dyDescent="0.2">
      <c r="G194" s="70">
        <v>188</v>
      </c>
      <c r="H194" s="69">
        <v>110</v>
      </c>
      <c r="I194" s="70"/>
      <c r="J194" s="70"/>
      <c r="K194" s="70"/>
      <c r="L194" s="70"/>
      <c r="M194" s="70"/>
      <c r="N194" s="70"/>
    </row>
    <row r="195" spans="7:14" ht="15.75" x14ac:dyDescent="0.2">
      <c r="G195" s="70">
        <v>189</v>
      </c>
      <c r="H195" s="69">
        <v>117</v>
      </c>
      <c r="I195" s="70"/>
      <c r="J195" s="70"/>
      <c r="K195" s="70"/>
      <c r="L195" s="70"/>
      <c r="M195" s="70"/>
      <c r="N195" s="70"/>
    </row>
    <row r="196" spans="7:14" ht="15.75" x14ac:dyDescent="0.2">
      <c r="G196" s="70">
        <v>190</v>
      </c>
      <c r="H196" s="69">
        <v>84</v>
      </c>
      <c r="I196" s="70"/>
      <c r="J196" s="70"/>
      <c r="K196" s="70"/>
      <c r="L196" s="70"/>
      <c r="M196" s="70"/>
      <c r="N196" s="70"/>
    </row>
    <row r="197" spans="7:14" ht="15.75" x14ac:dyDescent="0.2">
      <c r="G197" s="70">
        <v>191</v>
      </c>
      <c r="H197" s="69">
        <v>75</v>
      </c>
      <c r="I197" s="70"/>
      <c r="J197" s="70"/>
      <c r="K197" s="70"/>
      <c r="L197" s="70"/>
      <c r="M197" s="70"/>
      <c r="N197" s="70"/>
    </row>
    <row r="198" spans="7:14" ht="15.75" x14ac:dyDescent="0.2">
      <c r="G198" s="70">
        <v>192</v>
      </c>
      <c r="H198" s="69">
        <v>96</v>
      </c>
      <c r="I198" s="70"/>
      <c r="J198" s="70"/>
      <c r="K198" s="70"/>
      <c r="L198" s="70"/>
      <c r="M198" s="70"/>
      <c r="N198" s="70"/>
    </row>
    <row r="199" spans="7:14" ht="15.75" x14ac:dyDescent="0.2">
      <c r="G199" s="70">
        <v>193</v>
      </c>
      <c r="H199" s="69">
        <v>107</v>
      </c>
      <c r="I199" s="70"/>
      <c r="J199" s="70"/>
      <c r="K199" s="70"/>
      <c r="L199" s="70"/>
      <c r="M199" s="70"/>
      <c r="N199" s="70"/>
    </row>
    <row r="200" spans="7:14" ht="15.75" x14ac:dyDescent="0.2">
      <c r="G200" s="70">
        <v>194</v>
      </c>
      <c r="H200" s="69">
        <v>112</v>
      </c>
      <c r="I200" s="70"/>
      <c r="J200" s="70"/>
      <c r="K200" s="70"/>
      <c r="L200" s="70"/>
      <c r="M200" s="70"/>
      <c r="N200" s="70"/>
    </row>
    <row r="201" spans="7:14" ht="15.75" x14ac:dyDescent="0.2">
      <c r="G201" s="70">
        <v>195</v>
      </c>
      <c r="H201" s="69">
        <v>91</v>
      </c>
      <c r="I201" s="70"/>
      <c r="J201" s="70"/>
      <c r="K201" s="70"/>
      <c r="L201" s="70"/>
      <c r="M201" s="70"/>
      <c r="N201" s="70"/>
    </row>
    <row r="202" spans="7:14" ht="15.75" x14ac:dyDescent="0.2">
      <c r="G202" s="70">
        <v>196</v>
      </c>
      <c r="H202" s="69">
        <v>97</v>
      </c>
      <c r="I202" s="70"/>
      <c r="J202" s="70"/>
      <c r="K202" s="70"/>
      <c r="L202" s="70"/>
      <c r="M202" s="70"/>
      <c r="N202" s="70"/>
    </row>
    <row r="203" spans="7:14" ht="15.75" x14ac:dyDescent="0.2">
      <c r="G203" s="70">
        <v>197</v>
      </c>
      <c r="H203" s="69">
        <v>84</v>
      </c>
      <c r="I203" s="70"/>
      <c r="J203" s="70"/>
      <c r="K203" s="70"/>
      <c r="L203" s="70"/>
      <c r="M203" s="70"/>
      <c r="N203" s="70"/>
    </row>
    <row r="204" spans="7:14" ht="15.75" x14ac:dyDescent="0.2">
      <c r="G204" s="70">
        <v>198</v>
      </c>
      <c r="H204" s="69">
        <v>122</v>
      </c>
      <c r="I204" s="70"/>
      <c r="J204" s="70"/>
      <c r="K204" s="70"/>
      <c r="L204" s="70"/>
      <c r="M204" s="70"/>
      <c r="N204" s="70"/>
    </row>
    <row r="205" spans="7:14" ht="15.75" x14ac:dyDescent="0.2">
      <c r="G205" s="70">
        <v>199</v>
      </c>
      <c r="H205" s="69">
        <v>107</v>
      </c>
      <c r="I205" s="70"/>
      <c r="J205" s="70"/>
      <c r="K205" s="70"/>
      <c r="L205" s="70"/>
      <c r="M205" s="70"/>
      <c r="N205" s="70"/>
    </row>
    <row r="206" spans="7:14" ht="15.75" x14ac:dyDescent="0.2">
      <c r="G206" s="70">
        <v>200</v>
      </c>
      <c r="H206" s="69">
        <v>101</v>
      </c>
      <c r="I206" s="70"/>
      <c r="J206" s="70"/>
      <c r="K206" s="70"/>
      <c r="L206" s="70"/>
      <c r="M206" s="70"/>
      <c r="N206" s="70"/>
    </row>
    <row r="207" spans="7:14" ht="15.75" x14ac:dyDescent="0.2">
      <c r="G207" s="70">
        <v>201</v>
      </c>
      <c r="H207" s="69">
        <v>95</v>
      </c>
      <c r="I207" s="70"/>
      <c r="J207" s="70"/>
      <c r="K207" s="70"/>
      <c r="L207" s="70"/>
      <c r="M207" s="70"/>
      <c r="N207" s="70"/>
    </row>
    <row r="208" spans="7:14" ht="15.75" x14ac:dyDescent="0.2">
      <c r="G208" s="70">
        <v>202</v>
      </c>
      <c r="H208" s="69">
        <v>82</v>
      </c>
      <c r="I208" s="70"/>
      <c r="J208" s="70"/>
      <c r="K208" s="70"/>
      <c r="L208" s="70"/>
      <c r="M208" s="70"/>
      <c r="N208" s="70"/>
    </row>
    <row r="209" spans="7:14" ht="15.75" x14ac:dyDescent="0.2">
      <c r="G209" s="70">
        <v>203</v>
      </c>
      <c r="H209" s="69">
        <v>123</v>
      </c>
      <c r="I209" s="70"/>
      <c r="J209" s="70">
        <v>643</v>
      </c>
      <c r="K209" s="70"/>
      <c r="L209" s="70"/>
      <c r="M209" s="70"/>
      <c r="N209" s="70"/>
    </row>
    <row r="210" spans="7:14" ht="15.75" x14ac:dyDescent="0.2">
      <c r="G210" s="70">
        <v>204</v>
      </c>
      <c r="H210" s="69">
        <v>764</v>
      </c>
      <c r="I210" s="70"/>
      <c r="J210" s="70"/>
      <c r="K210" s="70"/>
      <c r="L210" s="70"/>
      <c r="M210" s="70"/>
      <c r="N210" s="70"/>
    </row>
    <row r="211" spans="7:14" ht="15.75" x14ac:dyDescent="0.2">
      <c r="G211" s="70">
        <v>205</v>
      </c>
      <c r="H211" s="69">
        <v>104</v>
      </c>
      <c r="I211" s="70"/>
      <c r="J211" s="70"/>
      <c r="K211" s="70"/>
      <c r="L211" s="70"/>
      <c r="M211" s="70"/>
      <c r="N211" s="70"/>
    </row>
    <row r="212" spans="7:14" ht="15.75" x14ac:dyDescent="0.2">
      <c r="G212" s="70">
        <v>206</v>
      </c>
      <c r="H212" s="69">
        <v>99</v>
      </c>
      <c r="I212" s="70"/>
      <c r="J212" s="70"/>
      <c r="K212" s="70"/>
      <c r="L212" s="70"/>
      <c r="M212" s="70"/>
      <c r="N212" s="70"/>
    </row>
    <row r="213" spans="7:14" ht="15.75" x14ac:dyDescent="0.2">
      <c r="G213" s="70">
        <v>207</v>
      </c>
      <c r="H213" s="69">
        <v>91</v>
      </c>
      <c r="I213" s="70"/>
      <c r="J213" s="70"/>
      <c r="K213" s="70"/>
      <c r="L213" s="70"/>
      <c r="M213" s="70"/>
      <c r="N213" s="70"/>
    </row>
    <row r="214" spans="7:14" ht="15.75" x14ac:dyDescent="0.2">
      <c r="G214" s="70">
        <v>208</v>
      </c>
      <c r="H214" s="69">
        <v>93</v>
      </c>
      <c r="I214" s="70"/>
      <c r="J214" s="70"/>
      <c r="K214" s="70"/>
      <c r="L214" s="70"/>
      <c r="M214" s="70"/>
      <c r="N214" s="70"/>
    </row>
    <row r="215" spans="7:14" ht="15.75" x14ac:dyDescent="0.2">
      <c r="G215" s="70">
        <v>209</v>
      </c>
      <c r="H215" s="69">
        <v>105</v>
      </c>
      <c r="I215" s="70"/>
      <c r="J215" s="70"/>
      <c r="K215" s="70"/>
      <c r="L215" s="70"/>
      <c r="M215" s="70"/>
      <c r="N215" s="70"/>
    </row>
    <row r="216" spans="7:14" ht="15.75" x14ac:dyDescent="0.2">
      <c r="G216" s="70">
        <v>210</v>
      </c>
      <c r="H216" s="69">
        <v>119</v>
      </c>
      <c r="I216" s="70"/>
      <c r="J216" s="70"/>
      <c r="K216" s="70"/>
      <c r="L216" s="70"/>
      <c r="M216" s="70"/>
      <c r="N216" s="70"/>
    </row>
    <row r="217" spans="7:14" ht="15.75" x14ac:dyDescent="0.2">
      <c r="G217" s="70">
        <v>211</v>
      </c>
      <c r="H217" s="69">
        <v>97</v>
      </c>
      <c r="I217" s="70"/>
      <c r="J217" s="70"/>
      <c r="K217" s="70"/>
      <c r="L217" s="70"/>
      <c r="M217" s="70"/>
      <c r="N217" s="70"/>
    </row>
    <row r="218" spans="7:14" ht="15.75" x14ac:dyDescent="0.2">
      <c r="G218" s="70">
        <v>212</v>
      </c>
      <c r="H218" s="69">
        <v>92</v>
      </c>
      <c r="I218" s="70"/>
      <c r="J218" s="70"/>
      <c r="K218" s="70"/>
      <c r="L218" s="70"/>
      <c r="M218" s="70"/>
      <c r="N218" s="70"/>
    </row>
    <row r="219" spans="7:14" ht="15.75" x14ac:dyDescent="0.2">
      <c r="G219" s="70">
        <v>213</v>
      </c>
      <c r="H219" s="69">
        <v>116</v>
      </c>
      <c r="I219" s="70"/>
      <c r="J219" s="70"/>
      <c r="K219" s="70"/>
      <c r="L219" s="70"/>
      <c r="M219" s="70"/>
      <c r="N219" s="70"/>
    </row>
    <row r="220" spans="7:14" ht="15.75" x14ac:dyDescent="0.2">
      <c r="G220" s="70">
        <v>214</v>
      </c>
      <c r="H220" s="69">
        <v>107</v>
      </c>
      <c r="I220" s="70"/>
      <c r="J220" s="70"/>
      <c r="K220" s="70"/>
      <c r="L220" s="70"/>
      <c r="M220" s="70"/>
      <c r="N220" s="70"/>
    </row>
    <row r="221" spans="7:14" ht="15.75" x14ac:dyDescent="0.2">
      <c r="G221" s="70">
        <v>215</v>
      </c>
      <c r="H221" s="69">
        <v>93</v>
      </c>
      <c r="I221" s="70"/>
      <c r="J221" s="70"/>
      <c r="K221" s="70"/>
      <c r="L221" s="70"/>
      <c r="M221" s="70"/>
      <c r="N221" s="70"/>
    </row>
    <row r="222" spans="7:14" ht="15.75" x14ac:dyDescent="0.2">
      <c r="G222" s="70">
        <v>216</v>
      </c>
      <c r="H222" s="69">
        <v>81</v>
      </c>
      <c r="I222" s="70"/>
      <c r="J222" s="70"/>
      <c r="K222" s="70"/>
      <c r="L222" s="70"/>
      <c r="M222" s="70"/>
      <c r="N222" s="70"/>
    </row>
    <row r="223" spans="7:14" ht="15.75" x14ac:dyDescent="0.2">
      <c r="G223" s="70">
        <v>217</v>
      </c>
      <c r="H223" s="69">
        <v>76</v>
      </c>
      <c r="I223" s="70"/>
      <c r="J223" s="70"/>
      <c r="K223" s="70"/>
      <c r="L223" s="70"/>
      <c r="M223" s="70"/>
      <c r="N223" s="70"/>
    </row>
    <row r="224" spans="7:14" ht="15.75" x14ac:dyDescent="0.2">
      <c r="G224" s="70">
        <v>218</v>
      </c>
      <c r="H224" s="69">
        <v>125</v>
      </c>
      <c r="I224" s="70"/>
      <c r="J224" s="70"/>
      <c r="K224" s="70"/>
      <c r="L224" s="70"/>
      <c r="M224" s="70"/>
      <c r="N224" s="70"/>
    </row>
    <row r="225" spans="7:14" ht="15.75" x14ac:dyDescent="0.2">
      <c r="G225" s="70">
        <v>219</v>
      </c>
      <c r="H225" s="69">
        <v>108</v>
      </c>
      <c r="I225" s="70"/>
      <c r="J225" s="70"/>
      <c r="K225" s="70"/>
      <c r="L225" s="70"/>
      <c r="M225" s="70"/>
      <c r="N225" s="70"/>
    </row>
    <row r="226" spans="7:14" ht="15.75" x14ac:dyDescent="0.2">
      <c r="G226" s="70">
        <v>220</v>
      </c>
      <c r="H226" s="69">
        <v>102</v>
      </c>
      <c r="I226" s="70"/>
      <c r="J226" s="70"/>
      <c r="K226" s="70"/>
      <c r="L226" s="70"/>
      <c r="M226" s="70"/>
      <c r="N226" s="70"/>
    </row>
    <row r="227" spans="7:14" ht="15.75" x14ac:dyDescent="0.2">
      <c r="G227" s="70">
        <v>221</v>
      </c>
      <c r="H227" s="69">
        <v>97</v>
      </c>
      <c r="I227" s="70"/>
      <c r="J227" s="70"/>
      <c r="K227" s="70"/>
      <c r="L227" s="70"/>
      <c r="M227" s="70"/>
      <c r="N227" s="70"/>
    </row>
    <row r="228" spans="7:14" ht="15.75" x14ac:dyDescent="0.2">
      <c r="G228" s="70">
        <v>222</v>
      </c>
      <c r="H228" s="69">
        <v>96</v>
      </c>
      <c r="I228" s="70"/>
      <c r="J228" s="70"/>
      <c r="K228" s="70"/>
      <c r="L228" s="70"/>
      <c r="M228" s="70"/>
      <c r="N228" s="70"/>
    </row>
    <row r="229" spans="7:14" ht="15.75" x14ac:dyDescent="0.2">
      <c r="G229" s="70">
        <v>223</v>
      </c>
      <c r="H229" s="69">
        <v>113</v>
      </c>
      <c r="I229" s="70"/>
      <c r="J229" s="70"/>
      <c r="K229" s="70"/>
      <c r="L229" s="70"/>
      <c r="M229" s="70"/>
      <c r="N229" s="70"/>
    </row>
    <row r="230" spans="7:14" ht="15.75" x14ac:dyDescent="0.2">
      <c r="G230" s="70">
        <v>224</v>
      </c>
      <c r="H230" s="69">
        <v>104</v>
      </c>
      <c r="I230" s="70"/>
      <c r="J230" s="70"/>
      <c r="K230" s="70"/>
      <c r="L230" s="70"/>
      <c r="M230" s="70"/>
      <c r="N230" s="70"/>
    </row>
    <row r="231" spans="7:14" ht="15.75" x14ac:dyDescent="0.2">
      <c r="G231" s="70">
        <v>225</v>
      </c>
      <c r="H231" s="69">
        <v>119</v>
      </c>
      <c r="I231" s="70"/>
      <c r="J231" s="70"/>
      <c r="K231" s="70"/>
      <c r="L231" s="70"/>
      <c r="M231" s="70"/>
      <c r="N231" s="70"/>
    </row>
    <row r="232" spans="7:14" ht="15.75" x14ac:dyDescent="0.2">
      <c r="G232" s="70">
        <v>226</v>
      </c>
      <c r="H232" s="69">
        <v>121</v>
      </c>
      <c r="I232" s="70"/>
      <c r="J232" s="70"/>
      <c r="K232" s="70"/>
      <c r="L232" s="70"/>
      <c r="M232" s="70"/>
      <c r="N232" s="70"/>
    </row>
    <row r="233" spans="7:14" ht="15.75" x14ac:dyDescent="0.2">
      <c r="G233" s="70">
        <v>227</v>
      </c>
      <c r="H233" s="69">
        <v>94</v>
      </c>
      <c r="I233" s="70"/>
      <c r="J233" s="70"/>
      <c r="K233" s="70"/>
      <c r="L233" s="70"/>
      <c r="M233" s="70"/>
      <c r="N233" s="70"/>
    </row>
    <row r="234" spans="7:14" ht="15.75" x14ac:dyDescent="0.2">
      <c r="G234" s="70">
        <v>228</v>
      </c>
      <c r="H234" s="69">
        <v>82</v>
      </c>
      <c r="I234" s="70"/>
      <c r="J234" s="70">
        <v>322</v>
      </c>
      <c r="K234" s="70"/>
      <c r="L234" s="70"/>
      <c r="M234" s="70"/>
      <c r="N234" s="70"/>
    </row>
    <row r="235" spans="7:14" ht="15.75" x14ac:dyDescent="0.2">
      <c r="G235" s="70">
        <v>229</v>
      </c>
      <c r="H235" s="69">
        <v>435</v>
      </c>
      <c r="I235" s="70"/>
      <c r="J235" s="70"/>
      <c r="K235" s="70"/>
      <c r="L235" s="70"/>
      <c r="M235" s="70"/>
      <c r="N235" s="70"/>
    </row>
    <row r="236" spans="7:14" ht="15.75" x14ac:dyDescent="0.2">
      <c r="G236" s="70">
        <v>230</v>
      </c>
      <c r="H236" s="69">
        <v>114</v>
      </c>
      <c r="I236" s="70"/>
      <c r="J236" s="70"/>
      <c r="K236" s="70"/>
      <c r="L236" s="70"/>
      <c r="M236" s="70"/>
      <c r="N236" s="70"/>
    </row>
    <row r="237" spans="7:14" ht="15.75" x14ac:dyDescent="0.2">
      <c r="G237" s="70">
        <v>231</v>
      </c>
      <c r="H237" s="69">
        <v>102</v>
      </c>
      <c r="I237" s="70"/>
      <c r="J237" s="70"/>
      <c r="K237" s="70"/>
      <c r="L237" s="70"/>
      <c r="M237" s="70"/>
      <c r="N237" s="70"/>
    </row>
    <row r="238" spans="7:14" ht="15.75" x14ac:dyDescent="0.2">
      <c r="G238" s="70">
        <v>232</v>
      </c>
      <c r="H238" s="69">
        <v>97</v>
      </c>
      <c r="I238" s="70"/>
      <c r="J238" s="70"/>
      <c r="K238" s="70"/>
      <c r="L238" s="70"/>
      <c r="M238" s="70"/>
      <c r="N238" s="70"/>
    </row>
    <row r="239" spans="7:14" ht="15.75" x14ac:dyDescent="0.2">
      <c r="G239" s="70">
        <v>233</v>
      </c>
      <c r="H239" s="69">
        <v>104</v>
      </c>
      <c r="I239" s="70"/>
      <c r="J239" s="70"/>
      <c r="K239" s="70"/>
      <c r="L239" s="70"/>
      <c r="M239" s="70"/>
      <c r="N239" s="70"/>
    </row>
    <row r="240" spans="7:14" ht="15.75" x14ac:dyDescent="0.2">
      <c r="G240" s="70">
        <v>234</v>
      </c>
      <c r="H240" s="69">
        <v>116</v>
      </c>
      <c r="I240" s="70"/>
      <c r="J240" s="70"/>
      <c r="K240" s="70"/>
      <c r="L240" s="70"/>
      <c r="M240" s="70"/>
      <c r="N240" s="70"/>
    </row>
    <row r="241" spans="7:14" ht="15.75" x14ac:dyDescent="0.2">
      <c r="G241" s="70">
        <v>235</v>
      </c>
      <c r="H241" s="69">
        <v>67</v>
      </c>
      <c r="I241" s="70"/>
      <c r="J241" s="70"/>
      <c r="K241" s="70"/>
      <c r="L241" s="70"/>
      <c r="M241" s="70"/>
      <c r="N241" s="70"/>
    </row>
    <row r="242" spans="7:14" ht="15.75" x14ac:dyDescent="0.2">
      <c r="G242" s="70">
        <v>236</v>
      </c>
      <c r="H242" s="69">
        <v>88</v>
      </c>
      <c r="I242" s="70"/>
      <c r="J242" s="70"/>
      <c r="K242" s="70"/>
      <c r="L242" s="70"/>
      <c r="M242" s="70"/>
      <c r="N242" s="70"/>
    </row>
    <row r="243" spans="7:14" ht="15.75" x14ac:dyDescent="0.2">
      <c r="G243" s="70">
        <v>237</v>
      </c>
      <c r="H243" s="69">
        <v>109</v>
      </c>
      <c r="I243" s="70"/>
      <c r="J243" s="70"/>
      <c r="K243" s="70"/>
      <c r="L243" s="70"/>
      <c r="M243" s="70"/>
      <c r="N243" s="70"/>
    </row>
    <row r="244" spans="7:14" ht="15.75" x14ac:dyDescent="0.2">
      <c r="G244" s="70">
        <v>238</v>
      </c>
      <c r="H244" s="69">
        <v>113</v>
      </c>
      <c r="I244" s="70"/>
      <c r="J244" s="70"/>
      <c r="K244" s="70"/>
      <c r="L244" s="70"/>
      <c r="M244" s="70"/>
      <c r="N244" s="70"/>
    </row>
    <row r="245" spans="7:14" ht="15.75" x14ac:dyDescent="0.2">
      <c r="G245" s="70">
        <v>239</v>
      </c>
      <c r="H245" s="69">
        <v>112</v>
      </c>
      <c r="I245" s="70"/>
      <c r="J245" s="70"/>
      <c r="K245" s="70"/>
      <c r="L245" s="70"/>
      <c r="M245" s="70"/>
      <c r="N245" s="70"/>
    </row>
    <row r="246" spans="7:14" ht="15.75" x14ac:dyDescent="0.2">
      <c r="G246" s="70">
        <v>240</v>
      </c>
      <c r="H246" s="69">
        <v>92</v>
      </c>
      <c r="I246" s="70"/>
      <c r="J246" s="70"/>
      <c r="K246" s="70"/>
      <c r="L246" s="70"/>
      <c r="M246" s="70"/>
      <c r="N246" s="70"/>
    </row>
    <row r="247" spans="7:14" ht="15.75" x14ac:dyDescent="0.2">
      <c r="G247" s="70">
        <v>241</v>
      </c>
      <c r="H247" s="69">
        <v>95</v>
      </c>
      <c r="I247" s="70"/>
      <c r="J247" s="70"/>
      <c r="K247" s="70"/>
      <c r="L247" s="70"/>
      <c r="M247" s="70"/>
      <c r="N247" s="70"/>
    </row>
    <row r="248" spans="7:14" ht="15.75" x14ac:dyDescent="0.2">
      <c r="G248" s="70">
        <v>242</v>
      </c>
      <c r="H248" s="69">
        <v>111</v>
      </c>
      <c r="I248" s="70"/>
      <c r="J248" s="70"/>
      <c r="K248" s="70"/>
      <c r="L248" s="70"/>
      <c r="M248" s="70"/>
      <c r="N248" s="70"/>
    </row>
    <row r="249" spans="7:14" ht="15.75" x14ac:dyDescent="0.2">
      <c r="G249" s="70">
        <v>243</v>
      </c>
      <c r="H249" s="69">
        <v>98</v>
      </c>
      <c r="I249" s="70"/>
      <c r="J249" s="70"/>
      <c r="K249" s="70"/>
      <c r="L249" s="70"/>
      <c r="M249" s="70"/>
      <c r="N249" s="70"/>
    </row>
  </sheetData>
  <mergeCells count="5">
    <mergeCell ref="B1:I1"/>
    <mergeCell ref="B2:I2"/>
    <mergeCell ref="B3:I3"/>
    <mergeCell ref="I5:N5"/>
    <mergeCell ref="B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abSelected="1" workbookViewId="0">
      <selection activeCell="G6" sqref="G6"/>
    </sheetView>
  </sheetViews>
  <sheetFormatPr defaultColWidth="8.875" defaultRowHeight="15" x14ac:dyDescent="0.25"/>
  <cols>
    <col min="1" max="1" width="8.875" style="3"/>
    <col min="2" max="2" width="9.25" style="3" customWidth="1"/>
    <col min="3" max="3" width="28.25" style="3" customWidth="1"/>
    <col min="4" max="4" width="23.875" style="3" customWidth="1"/>
    <col min="5" max="5" width="20" style="3" customWidth="1"/>
    <col min="6" max="6" width="51.875" style="3" customWidth="1"/>
    <col min="7" max="9" width="11.25" style="3" bestFit="1" customWidth="1"/>
    <col min="10" max="10" width="11" style="3" customWidth="1"/>
    <col min="11" max="16384" width="8.875" style="3"/>
  </cols>
  <sheetData>
    <row r="1" spans="1:10" x14ac:dyDescent="0.25">
      <c r="A1" s="87" t="s">
        <v>119</v>
      </c>
      <c r="B1" s="87"/>
      <c r="C1" s="87"/>
      <c r="D1" s="87"/>
      <c r="E1" s="87"/>
      <c r="F1" s="44"/>
    </row>
    <row r="2" spans="1:10" x14ac:dyDescent="0.25">
      <c r="A2" s="87" t="s">
        <v>118</v>
      </c>
      <c r="B2" s="87"/>
      <c r="C2" s="87"/>
      <c r="D2" s="87"/>
      <c r="E2" s="87"/>
      <c r="F2" s="61" t="s">
        <v>121</v>
      </c>
      <c r="G2" s="3">
        <v>1</v>
      </c>
    </row>
    <row r="3" spans="1:10" ht="15.75" x14ac:dyDescent="0.25">
      <c r="A3" s="95" t="s">
        <v>144</v>
      </c>
      <c r="B3" s="95"/>
      <c r="C3" s="95"/>
      <c r="D3" s="95"/>
      <c r="E3" s="95"/>
      <c r="F3" s="12" t="s">
        <v>120</v>
      </c>
      <c r="G3" s="69" t="s">
        <v>153</v>
      </c>
      <c r="H3" s="69" t="s">
        <v>149</v>
      </c>
    </row>
    <row r="4" spans="1:10" s="52" customFormat="1" ht="15.75" x14ac:dyDescent="0.25">
      <c r="A4" s="50"/>
      <c r="B4" s="50"/>
      <c r="C4" s="50"/>
      <c r="D4" s="50"/>
      <c r="E4" s="50"/>
      <c r="F4" s="51" t="s">
        <v>114</v>
      </c>
      <c r="G4" s="69" t="s">
        <v>145</v>
      </c>
      <c r="H4" s="72"/>
      <c r="I4" s="53"/>
      <c r="J4" s="71"/>
    </row>
    <row r="5" spans="1:10" ht="15.75" thickBot="1" x14ac:dyDescent="0.3">
      <c r="F5" s="31" t="s">
        <v>117</v>
      </c>
      <c r="G5" s="74">
        <v>1</v>
      </c>
      <c r="H5" s="75">
        <v>2</v>
      </c>
      <c r="I5" s="74">
        <v>3</v>
      </c>
      <c r="J5" s="47">
        <v>5</v>
      </c>
    </row>
    <row r="6" spans="1:10" s="49" customFormat="1" ht="33" customHeight="1" thickBot="1" x14ac:dyDescent="0.25">
      <c r="A6" s="13" t="s">
        <v>11</v>
      </c>
      <c r="B6" s="13" t="s">
        <v>12</v>
      </c>
      <c r="C6" s="13" t="s">
        <v>13</v>
      </c>
      <c r="D6" s="13" t="s">
        <v>14</v>
      </c>
      <c r="E6" s="13" t="s">
        <v>15</v>
      </c>
      <c r="F6" s="45" t="s">
        <v>16</v>
      </c>
      <c r="G6" s="77" t="s">
        <v>155</v>
      </c>
      <c r="H6" s="76"/>
      <c r="I6" s="76"/>
      <c r="J6" s="73"/>
    </row>
    <row r="7" spans="1:10" s="37" customFormat="1" ht="14.1" customHeight="1" x14ac:dyDescent="0.25">
      <c r="A7" s="90" t="s">
        <v>17</v>
      </c>
      <c r="B7" s="32"/>
      <c r="C7" s="33" t="s">
        <v>18</v>
      </c>
      <c r="D7" s="34"/>
      <c r="E7" s="35"/>
      <c r="F7" s="36"/>
    </row>
    <row r="8" spans="1:10" ht="25.5" x14ac:dyDescent="0.25">
      <c r="A8" s="91"/>
      <c r="B8" s="4">
        <v>1.1000000000000001</v>
      </c>
      <c r="C8" s="5" t="s">
        <v>19</v>
      </c>
      <c r="D8" s="6" t="s">
        <v>20</v>
      </c>
      <c r="E8" s="6" t="s">
        <v>21</v>
      </c>
      <c r="F8" s="54" t="s">
        <v>22</v>
      </c>
      <c r="G8" s="46">
        <v>3</v>
      </c>
      <c r="H8" s="46"/>
      <c r="I8" s="46"/>
      <c r="J8" s="46"/>
    </row>
    <row r="9" spans="1:10" ht="38.25" x14ac:dyDescent="0.25">
      <c r="A9" s="91"/>
      <c r="B9" s="4">
        <v>1.2</v>
      </c>
      <c r="C9" s="5" t="s">
        <v>23</v>
      </c>
      <c r="D9" s="6" t="s">
        <v>24</v>
      </c>
      <c r="E9" s="6" t="s">
        <v>108</v>
      </c>
      <c r="F9" s="54" t="s">
        <v>22</v>
      </c>
      <c r="G9" s="48"/>
      <c r="H9" s="46"/>
      <c r="I9" s="46"/>
      <c r="J9" s="46"/>
    </row>
    <row r="10" spans="1:10" ht="86.1" customHeight="1" x14ac:dyDescent="0.25">
      <c r="A10" s="91"/>
      <c r="B10" s="4">
        <v>1.3</v>
      </c>
      <c r="C10" s="5" t="s">
        <v>25</v>
      </c>
      <c r="D10" s="6" t="s">
        <v>26</v>
      </c>
      <c r="E10" s="6" t="s">
        <v>27</v>
      </c>
      <c r="F10" s="54" t="s">
        <v>28</v>
      </c>
      <c r="G10" s="46">
        <v>4</v>
      </c>
      <c r="H10" s="46"/>
      <c r="I10" s="46"/>
      <c r="J10" s="46"/>
    </row>
    <row r="11" spans="1:10" ht="31.5" customHeight="1" x14ac:dyDescent="0.25">
      <c r="A11" s="91"/>
      <c r="B11" s="4">
        <v>1.4</v>
      </c>
      <c r="C11" s="5" t="s">
        <v>29</v>
      </c>
      <c r="D11" s="6" t="s">
        <v>30</v>
      </c>
      <c r="E11" s="6" t="s">
        <v>31</v>
      </c>
      <c r="F11" s="54" t="s">
        <v>32</v>
      </c>
      <c r="G11" s="46">
        <v>9</v>
      </c>
      <c r="H11" s="46"/>
      <c r="I11" s="46"/>
      <c r="J11" s="46"/>
    </row>
    <row r="12" spans="1:10" ht="137.1" customHeight="1" x14ac:dyDescent="0.25">
      <c r="A12" s="91"/>
      <c r="B12" s="4">
        <v>1.5</v>
      </c>
      <c r="C12" s="5" t="s">
        <v>33</v>
      </c>
      <c r="D12" s="6" t="s">
        <v>26</v>
      </c>
      <c r="E12" s="6" t="s">
        <v>34</v>
      </c>
      <c r="F12" s="54" t="s">
        <v>35</v>
      </c>
      <c r="G12" s="46">
        <v>4</v>
      </c>
      <c r="H12" s="46"/>
      <c r="I12" s="46"/>
      <c r="J12" s="46"/>
    </row>
    <row r="13" spans="1:10" s="37" customFormat="1" ht="15" customHeight="1" x14ac:dyDescent="0.25">
      <c r="A13" s="91"/>
      <c r="B13" s="38"/>
      <c r="C13" s="39" t="s">
        <v>36</v>
      </c>
      <c r="D13" s="40"/>
      <c r="E13" s="41"/>
      <c r="F13" s="41"/>
      <c r="G13" s="43"/>
      <c r="H13" s="43"/>
      <c r="I13" s="43"/>
      <c r="J13" s="43"/>
    </row>
    <row r="14" spans="1:10" ht="25.5" x14ac:dyDescent="0.25">
      <c r="A14" s="91"/>
      <c r="B14" s="4">
        <v>1.7</v>
      </c>
      <c r="C14" s="5" t="s">
        <v>37</v>
      </c>
      <c r="D14" s="6" t="s">
        <v>38</v>
      </c>
      <c r="E14" s="6"/>
      <c r="F14" s="54" t="s">
        <v>39</v>
      </c>
      <c r="G14" s="46">
        <v>4</v>
      </c>
      <c r="H14" s="46"/>
      <c r="I14" s="46"/>
      <c r="J14" s="46"/>
    </row>
    <row r="15" spans="1:10" ht="25.5" x14ac:dyDescent="0.25">
      <c r="A15" s="91"/>
      <c r="B15" s="4">
        <v>1.8</v>
      </c>
      <c r="C15" s="5" t="s">
        <v>40</v>
      </c>
      <c r="D15" s="6" t="s">
        <v>41</v>
      </c>
      <c r="E15" s="6"/>
      <c r="F15" s="54" t="s">
        <v>42</v>
      </c>
      <c r="G15" s="46">
        <v>4</v>
      </c>
      <c r="H15" s="46"/>
      <c r="I15" s="46"/>
      <c r="J15" s="46"/>
    </row>
    <row r="16" spans="1:10" s="37" customFormat="1" x14ac:dyDescent="0.25">
      <c r="A16" s="91"/>
      <c r="B16" s="38"/>
      <c r="C16" s="93" t="s">
        <v>43</v>
      </c>
      <c r="D16" s="94"/>
      <c r="E16" s="94"/>
      <c r="F16" s="94"/>
      <c r="G16" s="43"/>
      <c r="H16" s="43"/>
      <c r="I16" s="43"/>
      <c r="J16" s="43"/>
    </row>
    <row r="17" spans="1:10" s="11" customFormat="1" ht="42" customHeight="1" x14ac:dyDescent="0.2">
      <c r="A17" s="91"/>
      <c r="B17" s="4">
        <v>1.9</v>
      </c>
      <c r="C17" s="17" t="s">
        <v>44</v>
      </c>
      <c r="D17" s="18" t="s">
        <v>45</v>
      </c>
      <c r="E17" s="18" t="s">
        <v>46</v>
      </c>
      <c r="F17" s="55" t="s">
        <v>109</v>
      </c>
      <c r="G17" s="60">
        <v>9</v>
      </c>
      <c r="H17" s="60"/>
      <c r="I17" s="60"/>
      <c r="J17" s="60"/>
    </row>
    <row r="18" spans="1:10" s="11" customFormat="1" ht="38.25" x14ac:dyDescent="0.2">
      <c r="A18" s="91"/>
      <c r="B18" s="21">
        <v>1.1000000000000001</v>
      </c>
      <c r="C18" s="17" t="s">
        <v>47</v>
      </c>
      <c r="D18" s="18" t="s">
        <v>48</v>
      </c>
      <c r="E18" s="18" t="s">
        <v>49</v>
      </c>
      <c r="F18" s="55"/>
      <c r="G18" s="60">
        <v>0</v>
      </c>
      <c r="H18" s="60"/>
      <c r="I18" s="60"/>
      <c r="J18" s="60"/>
    </row>
    <row r="19" spans="1:10" s="11" customFormat="1" ht="31.5" customHeight="1" x14ac:dyDescent="0.2">
      <c r="A19" s="91"/>
      <c r="B19" s="4">
        <v>1.1100000000000001</v>
      </c>
      <c r="C19" s="17" t="s">
        <v>50</v>
      </c>
      <c r="D19" s="18" t="s">
        <v>48</v>
      </c>
      <c r="E19" s="18" t="s">
        <v>51</v>
      </c>
      <c r="F19" s="56" t="s">
        <v>52</v>
      </c>
      <c r="G19" s="60">
        <v>0</v>
      </c>
      <c r="H19" s="60"/>
      <c r="I19" s="60"/>
      <c r="J19" s="60"/>
    </row>
    <row r="20" spans="1:10" s="11" customFormat="1" ht="25.5" x14ac:dyDescent="0.2">
      <c r="A20" s="91"/>
      <c r="B20" s="4">
        <v>1.1200000000000001</v>
      </c>
      <c r="C20" s="17" t="s">
        <v>53</v>
      </c>
      <c r="D20" s="18" t="s">
        <v>54</v>
      </c>
      <c r="E20" s="18" t="s">
        <v>55</v>
      </c>
      <c r="F20" s="55"/>
      <c r="G20" s="60">
        <v>9</v>
      </c>
      <c r="H20" s="60"/>
      <c r="I20" s="60"/>
      <c r="J20" s="60"/>
    </row>
    <row r="21" spans="1:10" s="11" customFormat="1" ht="36.950000000000003" customHeight="1" x14ac:dyDescent="0.2">
      <c r="A21" s="91"/>
      <c r="B21" s="4">
        <v>1.1299999999999999</v>
      </c>
      <c r="C21" s="17" t="s">
        <v>56</v>
      </c>
      <c r="D21" s="18" t="s">
        <v>57</v>
      </c>
      <c r="E21" s="18" t="s">
        <v>58</v>
      </c>
      <c r="F21" s="55"/>
      <c r="G21" s="60">
        <v>1</v>
      </c>
      <c r="H21" s="60"/>
      <c r="I21" s="60"/>
      <c r="J21" s="60"/>
    </row>
    <row r="22" spans="1:10" s="11" customFormat="1" ht="26.25" thickBot="1" x14ac:dyDescent="0.25">
      <c r="A22" s="92"/>
      <c r="B22" s="4">
        <v>1.1399999999999999</v>
      </c>
      <c r="C22" s="20" t="s">
        <v>59</v>
      </c>
      <c r="D22" s="19" t="s">
        <v>60</v>
      </c>
      <c r="E22" s="19" t="s">
        <v>61</v>
      </c>
      <c r="F22" s="57" t="s">
        <v>62</v>
      </c>
      <c r="G22" s="60">
        <v>0</v>
      </c>
      <c r="H22" s="60"/>
      <c r="I22" s="60"/>
      <c r="J22" s="60"/>
    </row>
    <row r="23" spans="1:10" s="37" customFormat="1" x14ac:dyDescent="0.25">
      <c r="A23" s="90" t="s">
        <v>63</v>
      </c>
      <c r="B23" s="32"/>
      <c r="C23" s="33" t="s">
        <v>64</v>
      </c>
      <c r="D23" s="34"/>
      <c r="E23" s="35"/>
      <c r="F23" s="35"/>
      <c r="G23" s="43"/>
      <c r="H23" s="43"/>
      <c r="I23" s="43"/>
      <c r="J23" s="43"/>
    </row>
    <row r="24" spans="1:10" ht="25.5" x14ac:dyDescent="0.25">
      <c r="A24" s="91"/>
      <c r="B24" s="4">
        <v>2.1</v>
      </c>
      <c r="C24" s="5" t="s">
        <v>110</v>
      </c>
      <c r="D24" s="6" t="s">
        <v>66</v>
      </c>
      <c r="E24" s="6" t="s">
        <v>67</v>
      </c>
      <c r="F24" s="54" t="s">
        <v>68</v>
      </c>
      <c r="G24" s="46">
        <v>0</v>
      </c>
      <c r="H24" s="46"/>
      <c r="I24" s="46"/>
      <c r="J24" s="46"/>
    </row>
    <row r="25" spans="1:10" ht="25.5" x14ac:dyDescent="0.25">
      <c r="A25" s="91"/>
      <c r="B25" s="4">
        <v>2.2000000000000002</v>
      </c>
      <c r="C25" s="5" t="s">
        <v>69</v>
      </c>
      <c r="D25" s="6" t="s">
        <v>70</v>
      </c>
      <c r="E25" s="6" t="s">
        <v>71</v>
      </c>
      <c r="F25" s="54"/>
      <c r="G25" s="46">
        <v>0</v>
      </c>
      <c r="H25" s="46"/>
      <c r="I25" s="46"/>
      <c r="J25" s="46"/>
    </row>
    <row r="26" spans="1:10" s="37" customFormat="1" x14ac:dyDescent="0.25">
      <c r="A26" s="91"/>
      <c r="B26" s="42"/>
      <c r="C26" s="39" t="s">
        <v>72</v>
      </c>
      <c r="D26" s="40"/>
      <c r="E26" s="41"/>
      <c r="F26" s="41"/>
      <c r="G26" s="43"/>
      <c r="H26" s="43"/>
      <c r="I26" s="43"/>
      <c r="J26" s="43"/>
    </row>
    <row r="27" spans="1:10" ht="25.5" x14ac:dyDescent="0.25">
      <c r="A27" s="91"/>
      <c r="B27" s="4">
        <v>2.2999999999999998</v>
      </c>
      <c r="C27" s="5" t="s">
        <v>65</v>
      </c>
      <c r="D27" s="6" t="s">
        <v>66</v>
      </c>
      <c r="E27" s="6" t="s">
        <v>67</v>
      </c>
      <c r="F27" s="54" t="s">
        <v>73</v>
      </c>
      <c r="G27" s="46">
        <v>0</v>
      </c>
      <c r="H27" s="46"/>
      <c r="I27" s="46"/>
      <c r="J27" s="46"/>
    </row>
    <row r="28" spans="1:10" ht="25.5" x14ac:dyDescent="0.25">
      <c r="A28" s="91"/>
      <c r="B28" s="4">
        <v>2.4</v>
      </c>
      <c r="C28" s="5" t="s">
        <v>74</v>
      </c>
      <c r="D28" s="6" t="s">
        <v>70</v>
      </c>
      <c r="E28" s="6" t="s">
        <v>71</v>
      </c>
      <c r="F28" s="54"/>
      <c r="G28" s="46">
        <v>0</v>
      </c>
      <c r="H28" s="46"/>
      <c r="I28" s="46"/>
      <c r="J28" s="46"/>
    </row>
    <row r="29" spans="1:10" ht="25.5" x14ac:dyDescent="0.25">
      <c r="A29" s="91"/>
      <c r="B29" s="4">
        <v>2.5</v>
      </c>
      <c r="C29" s="9" t="s">
        <v>75</v>
      </c>
      <c r="D29" s="6" t="s">
        <v>76</v>
      </c>
      <c r="E29" s="6" t="s">
        <v>21</v>
      </c>
      <c r="F29" s="54"/>
      <c r="G29" s="46">
        <v>1</v>
      </c>
      <c r="H29" s="46"/>
      <c r="I29" s="46"/>
      <c r="J29" s="46"/>
    </row>
    <row r="30" spans="1:10" ht="25.5" x14ac:dyDescent="0.25">
      <c r="A30" s="91"/>
      <c r="B30" s="4">
        <v>2.6</v>
      </c>
      <c r="C30" s="9" t="s">
        <v>77</v>
      </c>
      <c r="D30" s="6" t="s">
        <v>70</v>
      </c>
      <c r="E30" s="6" t="s">
        <v>78</v>
      </c>
      <c r="F30" s="54"/>
      <c r="G30" s="46">
        <v>0</v>
      </c>
      <c r="H30" s="46"/>
      <c r="I30" s="46"/>
      <c r="J30" s="46"/>
    </row>
    <row r="31" spans="1:10" ht="26.25" thickBot="1" x14ac:dyDescent="0.3">
      <c r="A31" s="92"/>
      <c r="B31" s="7">
        <v>2.7</v>
      </c>
      <c r="C31" s="10" t="s">
        <v>79</v>
      </c>
      <c r="D31" s="8" t="s">
        <v>70</v>
      </c>
      <c r="E31" s="8" t="s">
        <v>78</v>
      </c>
      <c r="F31" s="58"/>
      <c r="G31" s="46">
        <v>0</v>
      </c>
      <c r="H31" s="46"/>
      <c r="I31" s="46"/>
      <c r="J31" s="46"/>
    </row>
    <row r="32" spans="1:10" ht="27.95" customHeight="1" x14ac:dyDescent="0.25">
      <c r="A32" s="88" t="s">
        <v>80</v>
      </c>
      <c r="B32" s="6">
        <v>3.1</v>
      </c>
      <c r="C32" s="5" t="s">
        <v>81</v>
      </c>
      <c r="D32" s="6" t="s">
        <v>111</v>
      </c>
      <c r="E32" s="6" t="s">
        <v>82</v>
      </c>
      <c r="F32" s="54" t="s">
        <v>83</v>
      </c>
      <c r="G32" s="46"/>
      <c r="H32" s="46"/>
      <c r="I32" s="46"/>
      <c r="J32" s="46"/>
    </row>
    <row r="33" spans="1:10" x14ac:dyDescent="0.25">
      <c r="A33" s="88"/>
      <c r="B33" s="6">
        <v>3.2</v>
      </c>
      <c r="C33" s="5" t="s">
        <v>84</v>
      </c>
      <c r="D33" s="6" t="s">
        <v>112</v>
      </c>
      <c r="E33" s="6" t="s">
        <v>82</v>
      </c>
      <c r="F33" s="54" t="s">
        <v>83</v>
      </c>
      <c r="G33" s="46"/>
      <c r="H33" s="46"/>
      <c r="I33" s="46"/>
      <c r="J33" s="46"/>
    </row>
    <row r="34" spans="1:10" x14ac:dyDescent="0.25">
      <c r="A34" s="88"/>
      <c r="B34" s="6">
        <v>3.3</v>
      </c>
      <c r="C34" s="5" t="s">
        <v>85</v>
      </c>
      <c r="D34" s="6" t="s">
        <v>113</v>
      </c>
      <c r="E34" s="6" t="s">
        <v>82</v>
      </c>
      <c r="F34" s="54" t="s">
        <v>83</v>
      </c>
      <c r="G34" s="46"/>
      <c r="H34" s="46"/>
      <c r="I34" s="46"/>
      <c r="J34" s="46"/>
    </row>
    <row r="35" spans="1:10" x14ac:dyDescent="0.25">
      <c r="A35" s="88"/>
      <c r="B35" s="6">
        <v>3.4</v>
      </c>
      <c r="C35" s="5" t="s">
        <v>86</v>
      </c>
      <c r="D35" s="6" t="s">
        <v>87</v>
      </c>
      <c r="E35" s="6" t="s">
        <v>82</v>
      </c>
      <c r="F35" s="54" t="s">
        <v>83</v>
      </c>
      <c r="G35" s="46"/>
      <c r="H35" s="46"/>
      <c r="I35" s="46"/>
      <c r="J35" s="46"/>
    </row>
    <row r="36" spans="1:10" ht="25.5" x14ac:dyDescent="0.25">
      <c r="A36" s="88"/>
      <c r="B36" s="6">
        <v>3.6</v>
      </c>
      <c r="C36" s="14" t="s">
        <v>88</v>
      </c>
      <c r="D36" s="6" t="s">
        <v>89</v>
      </c>
      <c r="E36" s="6" t="s">
        <v>90</v>
      </c>
      <c r="F36" s="54"/>
      <c r="G36" s="46">
        <v>1</v>
      </c>
      <c r="H36" s="46"/>
      <c r="I36" s="46"/>
      <c r="J36" s="46"/>
    </row>
    <row r="37" spans="1:10" ht="26.25" thickBot="1" x14ac:dyDescent="0.3">
      <c r="A37" s="89"/>
      <c r="B37" s="16">
        <v>3.7</v>
      </c>
      <c r="C37" s="15" t="s">
        <v>91</v>
      </c>
      <c r="D37" s="16" t="s">
        <v>92</v>
      </c>
      <c r="E37" s="16" t="s">
        <v>93</v>
      </c>
      <c r="F37" s="59" t="s">
        <v>94</v>
      </c>
      <c r="G37" s="46">
        <v>0</v>
      </c>
      <c r="H37" s="46"/>
      <c r="I37" s="46"/>
      <c r="J37" s="46"/>
    </row>
  </sheetData>
  <mergeCells count="7">
    <mergeCell ref="A1:E1"/>
    <mergeCell ref="A2:E2"/>
    <mergeCell ref="A32:A37"/>
    <mergeCell ref="A7:A22"/>
    <mergeCell ref="C16:F16"/>
    <mergeCell ref="A23:A31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view="pageBreakPreview" zoomScale="60" zoomScaleNormal="100" workbookViewId="0">
      <selection activeCell="Q12" sqref="Q12"/>
    </sheetView>
  </sheetViews>
  <sheetFormatPr defaultColWidth="9.125" defaultRowHeight="14.25" x14ac:dyDescent="0.2"/>
  <cols>
    <col min="1" max="1" width="11.625" style="23" customWidth="1"/>
    <col min="2" max="2" width="12.375" style="23" customWidth="1"/>
    <col min="3" max="3" width="14.375" style="23" bestFit="1" customWidth="1"/>
    <col min="4" max="4" width="13.25" style="23" customWidth="1"/>
    <col min="5" max="5" width="27" style="23" customWidth="1"/>
    <col min="6" max="6" width="13.625" style="23" customWidth="1"/>
    <col min="7" max="7" width="14.25" style="23" customWidth="1"/>
    <col min="8" max="8" width="11.125" style="23" customWidth="1"/>
    <col min="9" max="11" width="9.125" style="23"/>
    <col min="12" max="12" width="10.875" style="23" customWidth="1"/>
    <col min="13" max="13" width="10.75" style="23" customWidth="1"/>
    <col min="14" max="16384" width="9.125" style="23"/>
  </cols>
  <sheetData>
    <row r="1" spans="1:14" ht="18" x14ac:dyDescent="0.25">
      <c r="A1" s="97" t="s">
        <v>132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18" x14ac:dyDescent="0.2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 ht="15.75" x14ac:dyDescent="0.2">
      <c r="A3" s="82" t="s">
        <v>133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</row>
    <row r="6" spans="1:14" ht="15" x14ac:dyDescent="0.25">
      <c r="B6" s="99" t="s">
        <v>134</v>
      </c>
      <c r="C6" s="99"/>
      <c r="D6" s="100" t="s">
        <v>135</v>
      </c>
      <c r="E6" s="101"/>
      <c r="F6" s="101"/>
      <c r="G6" s="101"/>
      <c r="H6" s="101"/>
      <c r="I6" s="101"/>
      <c r="J6" s="101"/>
      <c r="K6" s="101"/>
      <c r="L6" s="101"/>
    </row>
    <row r="7" spans="1:14" ht="15" x14ac:dyDescent="0.25">
      <c r="B7" s="102" t="s">
        <v>115</v>
      </c>
      <c r="C7" s="102"/>
      <c r="D7" s="100"/>
      <c r="E7" s="101"/>
      <c r="F7" s="101"/>
      <c r="G7" s="101"/>
      <c r="H7" s="101"/>
      <c r="I7" s="101"/>
      <c r="J7" s="101"/>
      <c r="K7" s="101"/>
      <c r="L7" s="101"/>
    </row>
    <row r="8" spans="1:14" ht="15.75" thickBot="1" x14ac:dyDescent="0.3">
      <c r="G8" s="96" t="s">
        <v>136</v>
      </c>
      <c r="H8" s="96"/>
      <c r="I8" s="96"/>
      <c r="J8" s="96"/>
      <c r="K8" s="96"/>
      <c r="L8" s="96"/>
      <c r="M8" s="96"/>
    </row>
    <row r="9" spans="1:14" s="64" customFormat="1" ht="45" x14ac:dyDescent="0.25">
      <c r="A9" s="62" t="s">
        <v>137</v>
      </c>
      <c r="B9" s="62" t="s">
        <v>114</v>
      </c>
      <c r="C9" s="62" t="s">
        <v>138</v>
      </c>
      <c r="D9" s="62" t="s">
        <v>139</v>
      </c>
      <c r="E9" s="63" t="s">
        <v>6</v>
      </c>
      <c r="F9" s="62" t="s">
        <v>10</v>
      </c>
      <c r="G9" s="62" t="s">
        <v>140</v>
      </c>
      <c r="H9" s="62" t="s">
        <v>141</v>
      </c>
      <c r="I9" s="62" t="s">
        <v>103</v>
      </c>
      <c r="J9" s="62" t="s">
        <v>142</v>
      </c>
      <c r="K9" s="62" t="s">
        <v>143</v>
      </c>
      <c r="L9" s="62" t="s">
        <v>106</v>
      </c>
      <c r="M9" s="62" t="s">
        <v>107</v>
      </c>
      <c r="N9" s="23"/>
    </row>
  </sheetData>
  <mergeCells count="8">
    <mergeCell ref="G8:M8"/>
    <mergeCell ref="A1:N1"/>
    <mergeCell ref="A2:N2"/>
    <mergeCell ref="A3:N3"/>
    <mergeCell ref="B6:C6"/>
    <mergeCell ref="D6:L6"/>
    <mergeCell ref="B7:C7"/>
    <mergeCell ref="D7:L7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dozer</vt:lpstr>
      <vt:lpstr>mpdm</vt:lpstr>
      <vt:lpstr>daily_variables</vt:lpstr>
      <vt:lpstr>productivity</vt:lpstr>
      <vt:lpstr>productivity!Print_Area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</dc:creator>
  <cp:lastModifiedBy>Mengistu Getie</cp:lastModifiedBy>
  <cp:lastPrinted>2024-11-24T12:34:53Z</cp:lastPrinted>
  <dcterms:created xsi:type="dcterms:W3CDTF">2024-11-22T07:02:19Z</dcterms:created>
  <dcterms:modified xsi:type="dcterms:W3CDTF">2025-11-24T09:15:37Z</dcterms:modified>
</cp:coreProperties>
</file>